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1"/>
  <workbookPr/>
  <mc:AlternateContent xmlns:mc="http://schemas.openxmlformats.org/markup-compatibility/2006">
    <mc:Choice Requires="x15">
      <x15ac:absPath xmlns:x15ac="http://schemas.microsoft.com/office/spreadsheetml/2010/11/ac" url="/Users/yorch/Documents/BEX/"/>
    </mc:Choice>
  </mc:AlternateContent>
  <xr:revisionPtr revIDLastSave="0" documentId="8_{8E94DA24-463E-F84C-BE06-07C7B2356183}" xr6:coauthVersionLast="47" xr6:coauthVersionMax="47" xr10:uidLastSave="{00000000-0000-0000-0000-000000000000}"/>
  <bookViews>
    <workbookView xWindow="0" yWindow="0" windowWidth="25600" windowHeight="16000" tabRatio="500" activeTab="3" xr2:uid="{00000000-000D-0000-FFFF-FFFF00000000}"/>
  </bookViews>
  <sheets>
    <sheet name="DASHBOARD" sheetId="1" r:id="rId1"/>
    <sheet name="BUSCADOR" sheetId="2" r:id="rId2"/>
    <sheet name="PERSONAL" sheetId="3" r:id="rId3"/>
    <sheet name="ACTIVOS" sheetId="4" r:id="rId4"/>
    <sheet name="MOVIMIENTOS" sheetId="5" r:id="rId5"/>
    <sheet name="PARAMETROS" sheetId="6" r:id="rId6"/>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K14" i="1" l="1"/>
  <c r="C6" i="2"/>
  <c r="C24" i="2"/>
  <c r="C23" i="2"/>
  <c r="C22" i="2"/>
  <c r="C21" i="2"/>
  <c r="C20" i="2"/>
  <c r="C19" i="2"/>
  <c r="C18" i="2"/>
  <c r="C17" i="2"/>
  <c r="C14" i="2"/>
  <c r="C13" i="2"/>
  <c r="C12" i="2"/>
  <c r="C11" i="2"/>
  <c r="C10" i="2"/>
  <c r="C9" i="2"/>
  <c r="C8" i="2"/>
  <c r="C7" i="2"/>
  <c r="N29" i="1"/>
  <c r="M29" i="1"/>
  <c r="L29" i="1"/>
  <c r="K29" i="1"/>
  <c r="N28" i="1"/>
  <c r="M28" i="1"/>
  <c r="L28" i="1"/>
  <c r="K28" i="1"/>
  <c r="N27" i="1"/>
  <c r="M27" i="1"/>
  <c r="L27" i="1"/>
  <c r="K27" i="1"/>
  <c r="N26" i="1"/>
  <c r="M26" i="1"/>
  <c r="L26" i="1"/>
  <c r="K26" i="1"/>
  <c r="N25" i="1"/>
  <c r="M25" i="1"/>
  <c r="L25" i="1"/>
  <c r="K25" i="1"/>
  <c r="N24" i="1"/>
  <c r="M24" i="1"/>
  <c r="L24" i="1"/>
  <c r="K24" i="1"/>
  <c r="N23" i="1"/>
  <c r="M23" i="1"/>
  <c r="L23" i="1"/>
  <c r="K23" i="1"/>
  <c r="N22" i="1"/>
  <c r="M22" i="1"/>
  <c r="L22" i="1"/>
  <c r="K22" i="1"/>
  <c r="N21" i="1"/>
  <c r="M21" i="1"/>
  <c r="L21" i="1"/>
  <c r="K21" i="1"/>
  <c r="M20" i="1"/>
  <c r="L20" i="1"/>
  <c r="K20" i="1"/>
  <c r="M19" i="1"/>
  <c r="L19" i="1"/>
  <c r="K19" i="1"/>
  <c r="E19" i="1"/>
  <c r="D19" i="1"/>
  <c r="C19" i="1"/>
  <c r="N19" i="1" s="1"/>
  <c r="B19" i="1"/>
  <c r="F19" i="1" s="1"/>
  <c r="M18" i="1"/>
  <c r="L18" i="1"/>
  <c r="K18" i="1"/>
  <c r="E18" i="1"/>
  <c r="D18" i="1"/>
  <c r="C18" i="1"/>
  <c r="N18" i="1" s="1"/>
  <c r="B18" i="1"/>
  <c r="M17" i="1"/>
  <c r="L17" i="1"/>
  <c r="K17" i="1"/>
  <c r="E17" i="1"/>
  <c r="D17" i="1"/>
  <c r="C17" i="1"/>
  <c r="N17" i="1" s="1"/>
  <c r="B17" i="1"/>
  <c r="F17" i="1" s="1"/>
  <c r="M16" i="1"/>
  <c r="L16" i="1"/>
  <c r="K16" i="1"/>
  <c r="E16" i="1"/>
  <c r="D16" i="1"/>
  <c r="C16" i="1"/>
  <c r="N16" i="1" s="1"/>
  <c r="B16" i="1"/>
  <c r="M15" i="1"/>
  <c r="L15" i="1"/>
  <c r="K15" i="1"/>
  <c r="E15" i="1"/>
  <c r="D15" i="1"/>
  <c r="C15" i="1"/>
  <c r="N15" i="1" s="1"/>
  <c r="B15" i="1"/>
  <c r="F15" i="1" s="1"/>
  <c r="M14" i="1"/>
  <c r="L14" i="1"/>
  <c r="E14" i="1"/>
  <c r="E20" i="1" s="1"/>
  <c r="D14" i="1"/>
  <c r="D20" i="1" s="1"/>
  <c r="C14" i="1"/>
  <c r="C20" i="1" s="1"/>
  <c r="B14" i="1"/>
  <c r="M9" i="1"/>
  <c r="J9" i="1"/>
  <c r="G9" i="1"/>
  <c r="D9" i="1"/>
  <c r="A9" i="1"/>
  <c r="M5" i="1"/>
  <c r="J5" i="1"/>
  <c r="G5" i="1"/>
  <c r="D5" i="1"/>
  <c r="A5" i="1"/>
  <c r="N20" i="1" l="1"/>
  <c r="G15" i="1"/>
  <c r="G17" i="1"/>
  <c r="G19" i="1"/>
  <c r="B20" i="1"/>
  <c r="F14" i="1"/>
  <c r="F16" i="1"/>
  <c r="G16" i="1" s="1"/>
  <c r="F18" i="1"/>
  <c r="G18" i="1" s="1"/>
  <c r="N14" i="1"/>
  <c r="F20" i="1" l="1"/>
  <c r="G20" i="1" s="1"/>
  <c r="G14" i="1"/>
</calcChain>
</file>

<file path=xl/sharedStrings.xml><?xml version="1.0" encoding="utf-8"?>
<sst xmlns="http://schemas.openxmlformats.org/spreadsheetml/2006/main" count="2476" uniqueCount="589">
  <si>
    <t>📊  DASHBOARD EJECUTIVO  —  Control de Credenciales BEX  |  Actualización automática</t>
  </si>
  <si>
    <t>INDICADORES CLAVE  ▸  Calculados en tiempo real</t>
  </si>
  <si>
    <t>TOTAL CREDENCIALES</t>
  </si>
  <si>
    <t>ASIGNADAS</t>
  </si>
  <si>
    <t>DISPONIBLES</t>
  </si>
  <si>
    <t>POR ASIGNAR</t>
  </si>
  <si>
    <t>⚠️  PERDIDAS</t>
  </si>
  <si>
    <t>INDICADORES DE PERSONAL</t>
  </si>
  <si>
    <t>TOTAL PERSONAL</t>
  </si>
  <si>
    <t>ACTIVOS</t>
  </si>
  <si>
    <t>INACTIVOS</t>
  </si>
  <si>
    <t>SUPERVISORES</t>
  </si>
  <si>
    <t>⚠️  ALERTAS CRITICAS</t>
  </si>
  <si>
    <t>CREDENCIALES POR REGIONAL</t>
  </si>
  <si>
    <t>CREDENCIALES POR SUPERVISOR</t>
  </si>
  <si>
    <t>REGIONAL</t>
  </si>
  <si>
    <t>ASIGNADO</t>
  </si>
  <si>
    <t>DISPONIBLE</t>
  </si>
  <si>
    <t>PERDIDO</t>
  </si>
  <si>
    <t>TOTAL</t>
  </si>
  <si>
    <t>% ASIG.</t>
  </si>
  <si>
    <t>SUPERVISOR</t>
  </si>
  <si>
    <t>% ACTIV.</t>
  </si>
  <si>
    <t>COCHABAMBA</t>
  </si>
  <si>
    <t>HASIRA DANIELA OSINAGA CHOQUE</t>
  </si>
  <si>
    <t>LA PAZ</t>
  </si>
  <si>
    <t>PAMELA FANNY CALANI LAURA</t>
  </si>
  <si>
    <t>ORURO</t>
  </si>
  <si>
    <t>NATALIA VILLARROEL</t>
  </si>
  <si>
    <t>SANTA CRUZ</t>
  </si>
  <si>
    <t>CLAUDIA SHASKIA CALLE NINA</t>
  </si>
  <si>
    <t>SUCRE</t>
  </si>
  <si>
    <t>GERCY EVER ERGUETA KIPPES</t>
  </si>
  <si>
    <t>TARIJA</t>
  </si>
  <si>
    <t>JOEL DAVID HUANCA HUANCA</t>
  </si>
  <si>
    <t>TOTAL GENERAL</t>
  </si>
  <si>
    <t>MAGALI YESENIA HUANCA HUANCA</t>
  </si>
  <si>
    <t>MILENKO ADRIANA ORDONEZ NUNEZ</t>
  </si>
  <si>
    <t>LIONEL CHABUR</t>
  </si>
  <si>
    <t>MIRIAM ROSA CHAMBI QUISPE</t>
  </si>
  <si>
    <t>JORGE SAAVEDRA</t>
  </si>
  <si>
    <t>BEATRIZ OVIEDO OVIEDO</t>
  </si>
  <si>
    <t>DELIA JORDAN FACUSSE</t>
  </si>
  <si>
    <t>JOSE GUTIERREZ PEDRAZA</t>
  </si>
  <si>
    <t>JENNY CRISTINA ECHALAR MONTALVO</t>
  </si>
  <si>
    <t>MARIA FERNANDA DAZA PALMA</t>
  </si>
  <si>
    <t>📋  ÚLTIMOS MOVIMIENTOS REGISTRADOS</t>
  </si>
  <si>
    <t>N° MOV</t>
  </si>
  <si>
    <t>FECHA</t>
  </si>
  <si>
    <t>TIPO MOVIMIENTO</t>
  </si>
  <si>
    <t>CÓDIGO BEX</t>
  </si>
  <si>
    <t>AFILIADOR</t>
  </si>
  <si>
    <t>MOV-0040</t>
  </si>
  <si>
    <t>ENTREGA INICIAL</t>
  </si>
  <si>
    <t>BEX-2039</t>
  </si>
  <si>
    <t>CESAR OSCAR LAURA CHUYMA</t>
  </si>
  <si>
    <t>MOV-0041</t>
  </si>
  <si>
    <t>BEX-2040</t>
  </si>
  <si>
    <t>MOV-0042</t>
  </si>
  <si>
    <t>BEX-2041</t>
  </si>
  <si>
    <t>RUTH CELINA PONCE PACO</t>
  </si>
  <si>
    <t>MOV-0043</t>
  </si>
  <si>
    <t>BEX-2042</t>
  </si>
  <si>
    <t>SILVANA ASUNCION ORDONEZ NUNEZ</t>
  </si>
  <si>
    <t>MOV-0044</t>
  </si>
  <si>
    <t>BEX-2043</t>
  </si>
  <si>
    <t>ADILSON ALMANZA GOMEZ</t>
  </si>
  <si>
    <t>MOV-0045</t>
  </si>
  <si>
    <t>BEX-2044</t>
  </si>
  <si>
    <t>ARACELI MARLENE TAPIA GUERRA</t>
  </si>
  <si>
    <t>MOV-0046</t>
  </si>
  <si>
    <t>BEX-2045</t>
  </si>
  <si>
    <t>BRENDA XIMENA BARBA VACA</t>
  </si>
  <si>
    <t>MOV-0047</t>
  </si>
  <si>
    <t>BEX-2046</t>
  </si>
  <si>
    <t>MARCO ANTONIO ESCOBAR ALVAREZ</t>
  </si>
  <si>
    <t>MOV-0048</t>
  </si>
  <si>
    <t>PERDIDA</t>
  </si>
  <si>
    <t>BEX-0518</t>
  </si>
  <si>
    <t>MOV-0049</t>
  </si>
  <si>
    <t>🔍  BUSCADOR INTELIGENTE DE ACTIVOS  —  Sistema BEX</t>
  </si>
  <si>
    <t>BUSCAR POR:</t>
  </si>
  <si>
    <t>← Escriba aquí el código BEX, nombre o teléfono</t>
  </si>
  <si>
    <t>📋  RESULTADO — BÚSQUEDA POR CÓDIGO BEX</t>
  </si>
  <si>
    <t>CÓDIGO BEX:</t>
  </si>
  <si>
    <t>GENERACIÓN:</t>
  </si>
  <si>
    <t>ESTADO:</t>
  </si>
  <si>
    <t>RESPONSABLE ACTUAL:</t>
  </si>
  <si>
    <t>SUPERVISOR:</t>
  </si>
  <si>
    <t>REGIONAL:</t>
  </si>
  <si>
    <t>FECHA ENTREGA:</t>
  </si>
  <si>
    <t>DÍAS EN USO:</t>
  </si>
  <si>
    <t>OBSERVACIONES:</t>
  </si>
  <si>
    <t>👤  RESULTADO — BÚSQUEDA POR NOMBRE / TELÉFONO</t>
  </si>
  <si>
    <t>NOMBRE COMPLETO:</t>
  </si>
  <si>
    <t>TELÉFONO:</t>
  </si>
  <si>
    <t>ROL:</t>
  </si>
  <si>
    <t>ACTIVO ACTUAL:</t>
  </si>
  <si>
    <t>📋  HISTORIAL DE MOVIMIENTOS PARA ESTA ACTIVO</t>
  </si>
  <si>
    <t>TIPO</t>
  </si>
  <si>
    <t>OBSERVACIONES</t>
  </si>
  <si>
    <t>ℹ️  Para ver el historial completo de movimientos de esta credencial, filtre la hoja MOVIMIENTOS
por el código BEX buscado. Use el filtro automático en la columna 'CÓDIGO BEX'.
También puede usar la función FILTRAR en Excel 365:
=FILTER(MOVIMIENTOS!A4:I200, MOVIMIENTOS!D4:D200=C3, "Sin movimientos")</t>
  </si>
  <si>
    <t>💡  INSTRUCCIONES DE USO:
• Escriba en la celda C3 el código BEX exacto (ej: BEX-0152) para buscar una credencial
• Escriba el nombre de la persona para buscar en PERSONAL
• Los resultados se actualizan automáticamente al escribir</t>
  </si>
  <si>
    <t>👤  TABLA MAESTRA DE PERSONAL  —  Sistema BEX Control de Credenciales</t>
  </si>
  <si>
    <t>ID PERSONA</t>
  </si>
  <si>
    <t>TELÉFONO
(ID ÚNICO)</t>
  </si>
  <si>
    <t>NOMBRES Y APELLIDOS</t>
  </si>
  <si>
    <t>ROL</t>
  </si>
  <si>
    <t>ESTADO</t>
  </si>
  <si>
    <t>CREDENCIAL
ACTUAL</t>
  </si>
  <si>
    <t>FECHA
INGRESO</t>
  </si>
  <si>
    <t>PER-001</t>
  </si>
  <si>
    <t>POR REGISTRAR</t>
  </si>
  <si>
    <t>ACTIVO</t>
  </si>
  <si>
    <t>BEX-0298</t>
  </si>
  <si>
    <t>PER-002</t>
  </si>
  <si>
    <t>BRUNO ROCHA PEREIRA</t>
  </si>
  <si>
    <t>BEX-0152</t>
  </si>
  <si>
    <t>PER-003</t>
  </si>
  <si>
    <t>JOSE OLAF ROJAS CONDARCO</t>
  </si>
  <si>
    <t>BEX-0532</t>
  </si>
  <si>
    <t>PER-004</t>
  </si>
  <si>
    <t>EVELYN CARMELA ESPINOZA CASTRO</t>
  </si>
  <si>
    <t>BEX-0511</t>
  </si>
  <si>
    <t>PER-005</t>
  </si>
  <si>
    <t>HEYDY DAYANA PUTARE MACHACA</t>
  </si>
  <si>
    <t>BEX-0528</t>
  </si>
  <si>
    <t>PER-006</t>
  </si>
  <si>
    <t>JOHANNA CASSANDRA CHAVEZ VALERIANO</t>
  </si>
  <si>
    <t>BEX-0522</t>
  </si>
  <si>
    <t>PER-007</t>
  </si>
  <si>
    <t>LAURA ANDREA TRIBENO GUTIERREZ</t>
  </si>
  <si>
    <t>BEX-0533</t>
  </si>
  <si>
    <t>PER-008</t>
  </si>
  <si>
    <t>MARCELO RIVAS MARIN</t>
  </si>
  <si>
    <t>BEX-0525</t>
  </si>
  <si>
    <t>PER-009</t>
  </si>
  <si>
    <t>SARAI VANESA TERAN GONZALES</t>
  </si>
  <si>
    <t>BEX-0517</t>
  </si>
  <si>
    <t>PER-010</t>
  </si>
  <si>
    <t>BEX-0017</t>
  </si>
  <si>
    <t>PER-011</t>
  </si>
  <si>
    <t>ALAN GUSTAVO ARNEZ TORO</t>
  </si>
  <si>
    <t>BEX-0014</t>
  </si>
  <si>
    <t>PER-012</t>
  </si>
  <si>
    <t>CALEB HERNAN FLORES FLORES</t>
  </si>
  <si>
    <t>BEX-0057</t>
  </si>
  <si>
    <t>PER-013</t>
  </si>
  <si>
    <t>DIEGO ARMANDO COLQUE COLQUE</t>
  </si>
  <si>
    <t>BEX-0018</t>
  </si>
  <si>
    <t>PER-014</t>
  </si>
  <si>
    <t>PABLO SANTIAGO PEREZ NAVA</t>
  </si>
  <si>
    <t>BEX-0023</t>
  </si>
  <si>
    <t>PER-015</t>
  </si>
  <si>
    <t>ROSIELVA ALDANA</t>
  </si>
  <si>
    <t>BEX-0012</t>
  </si>
  <si>
    <t>Nombre incompleto - verificar</t>
  </si>
  <si>
    <t>PER-016</t>
  </si>
  <si>
    <t>VANIA GRAGEDA ESPINOZA</t>
  </si>
  <si>
    <t>BEX-0013</t>
  </si>
  <si>
    <t>PER-017</t>
  </si>
  <si>
    <t>VLADIMIR SUTURI TOCOCARI</t>
  </si>
  <si>
    <t>BEX-0011</t>
  </si>
  <si>
    <t>PER-018</t>
  </si>
  <si>
    <t>JHOJAN JAIRO CALLAHUARA CHOQUE</t>
  </si>
  <si>
    <t>BEX-0020</t>
  </si>
  <si>
    <t>PER-019</t>
  </si>
  <si>
    <t>Supervisor registrado en ENTREGADOS - datos incompletos</t>
  </si>
  <si>
    <t>PER-020</t>
  </si>
  <si>
    <t>BEX-0176</t>
  </si>
  <si>
    <t>⚠️ BEX-0176 DUPLICADO - verificar con REYNA IVONNE</t>
  </si>
  <si>
    <t>PER-021</t>
  </si>
  <si>
    <t>AARON PEDRO CHUQUIMIA CHAIRA</t>
  </si>
  <si>
    <t>BEX-0162</t>
  </si>
  <si>
    <t>PER-022</t>
  </si>
  <si>
    <t>EIMI SONIA CHUQUIMIA CHAIRA</t>
  </si>
  <si>
    <t>BEX-0112</t>
  </si>
  <si>
    <t>PER-023</t>
  </si>
  <si>
    <t>LUZ NATALIA HUANAPACO PENA</t>
  </si>
  <si>
    <t>INACTIVO</t>
  </si>
  <si>
    <t>PER-024</t>
  </si>
  <si>
    <t>MIGUEL ANGEL BLANCO RONDO</t>
  </si>
  <si>
    <t>BEX-0169</t>
  </si>
  <si>
    <t>PER-025</t>
  </si>
  <si>
    <t>REYNA IVONNE CALLE NINA</t>
  </si>
  <si>
    <t>⚠️ BEX-0176 DUPLICADO - misma credencial que CLAUDIA SHASKIA</t>
  </si>
  <si>
    <t>PER-026</t>
  </si>
  <si>
    <t>RUBEN ANTONIO HINOJOSA TUPA</t>
  </si>
  <si>
    <t>BEX-0120</t>
  </si>
  <si>
    <t>PER-027</t>
  </si>
  <si>
    <t>SAMIEL ARTURO TORRICOS VILLARREAL</t>
  </si>
  <si>
    <t>BEX-0151</t>
  </si>
  <si>
    <t>PER-028</t>
  </si>
  <si>
    <t>DANIELA LUCERO FLAVIA MIRANDA</t>
  </si>
  <si>
    <t>BEX-0368</t>
  </si>
  <si>
    <t>PER-029</t>
  </si>
  <si>
    <t>BEX-2038</t>
  </si>
  <si>
    <t>Nueva credencial asignada</t>
  </si>
  <si>
    <t>PER-030</t>
  </si>
  <si>
    <t>ABIGAIL HUANACO TICONA</t>
  </si>
  <si>
    <t>PER-031</t>
  </si>
  <si>
    <t>ALEXIA MICAELA ERGUETA ALIAGA</t>
  </si>
  <si>
    <t>BEX-2037</t>
  </si>
  <si>
    <t>PER-032</t>
  </si>
  <si>
    <t>ALVARO CIMAR MAMANI PRADO</t>
  </si>
  <si>
    <t>PER-033</t>
  </si>
  <si>
    <t>ANA GABRIELA CONDORI HERRERA</t>
  </si>
  <si>
    <t>PER-034</t>
  </si>
  <si>
    <t>BENJAMIN CHUQUIMIA CORDERO</t>
  </si>
  <si>
    <t>PER-035</t>
  </si>
  <si>
    <t>DARING ACARAPI MAMANI</t>
  </si>
  <si>
    <t>BEX-0184</t>
  </si>
  <si>
    <t>PER-036</t>
  </si>
  <si>
    <t>GIOVANA TOLA CASACA</t>
  </si>
  <si>
    <t>PER-037</t>
  </si>
  <si>
    <t>HARRY JHONNY CRUZ MALLQUI</t>
  </si>
  <si>
    <t>PER-038</t>
  </si>
  <si>
    <t>JHOSELYN DANIELA MANZANEDA CHINO</t>
  </si>
  <si>
    <t>PER-039</t>
  </si>
  <si>
    <t>LAURA VANESSA QUISPE MAMANI</t>
  </si>
  <si>
    <t>PER-040</t>
  </si>
  <si>
    <t>LIVIA VIOLETA QUISPE CONDORI</t>
  </si>
  <si>
    <t>PER-041</t>
  </si>
  <si>
    <t>PATRICIA ANGELICA HUAYLLAS PAYE</t>
  </si>
  <si>
    <t>PER-042</t>
  </si>
  <si>
    <t>RAFAELA RUBI MEDINA SORIA</t>
  </si>
  <si>
    <t>PER-043</t>
  </si>
  <si>
    <t>RONALD JHONATAN CUSICANQUI LAURA</t>
  </si>
  <si>
    <t>PER-044</t>
  </si>
  <si>
    <t>JHOSEP QUISBERT MAMANI</t>
  </si>
  <si>
    <t>BEX-0107</t>
  </si>
  <si>
    <t>PER-045</t>
  </si>
  <si>
    <t>CAMILA LOZA MERINO</t>
  </si>
  <si>
    <t>BEX-0106</t>
  </si>
  <si>
    <t>⚠️ Verificar: posible duplicado con JHOSEP SHARUM (MAGALI)</t>
  </si>
  <si>
    <t>PER-046</t>
  </si>
  <si>
    <t>BEX-0158</t>
  </si>
  <si>
    <t>PER-047</t>
  </si>
  <si>
    <t>PER-048</t>
  </si>
  <si>
    <t>EDDY HERLAND ESPINOZA CHOQUE</t>
  </si>
  <si>
    <t>BEX-0126</t>
  </si>
  <si>
    <t>PER-049</t>
  </si>
  <si>
    <t>FRANZ RODRIGO LEVANDRO PANUNI</t>
  </si>
  <si>
    <t>BEX-0192</t>
  </si>
  <si>
    <t>PER-050</t>
  </si>
  <si>
    <t>JHOANA IVETH VARGAS COPA</t>
  </si>
  <si>
    <t>BEX-0109</t>
  </si>
  <si>
    <t>PER-051</t>
  </si>
  <si>
    <t>TANIA NINOSKA MAMANI MACHACA</t>
  </si>
  <si>
    <t>PER-052</t>
  </si>
  <si>
    <t>VANESSA ILLANES YUJRA</t>
  </si>
  <si>
    <t>BEX-0187</t>
  </si>
  <si>
    <t>PER-053</t>
  </si>
  <si>
    <t>WILSON ALFREDO MACHACA CALCINA</t>
  </si>
  <si>
    <t>BEX-0111</t>
  </si>
  <si>
    <t>PER-054</t>
  </si>
  <si>
    <t>PER-055</t>
  </si>
  <si>
    <t>ELIZABETH CEREZO CEREZO</t>
  </si>
  <si>
    <t>PER-056</t>
  </si>
  <si>
    <t>ERIKA HUAYHUA FERNANDEZ</t>
  </si>
  <si>
    <t>PER-057</t>
  </si>
  <si>
    <t>EVELYN GIOVANNA LUQUE CHAUCA</t>
  </si>
  <si>
    <t>PER-058</t>
  </si>
  <si>
    <t>JHENNY CALLISAYA QUISPE</t>
  </si>
  <si>
    <t>PER-059</t>
  </si>
  <si>
    <t>JHOSEP SHARUM QUISBERT MAMANI</t>
  </si>
  <si>
    <t>⚠️ Verificar: mismo BEX-0106 que CAMILA LOZA (GERCY)</t>
  </si>
  <si>
    <t>PER-060</t>
  </si>
  <si>
    <t>PER-061</t>
  </si>
  <si>
    <t>ADRIANA ALEJANDRA AREVALO HERBAS</t>
  </si>
  <si>
    <t>BEX-0167</t>
  </si>
  <si>
    <t>PER-062</t>
  </si>
  <si>
    <t>BRENDA ISABEL IBANEZ CARPIO</t>
  </si>
  <si>
    <t>PER-063</t>
  </si>
  <si>
    <t>CLAUDIA APAZA SINANI</t>
  </si>
  <si>
    <t>PER-064</t>
  </si>
  <si>
    <t>CRISTIAN JAVIER MORALES REYES</t>
  </si>
  <si>
    <t>BEX-0155</t>
  </si>
  <si>
    <t>PER-065</t>
  </si>
  <si>
    <t>DAMIAN ALEJANDRO DE LA BARRA RODRIGUEZ</t>
  </si>
  <si>
    <t>PER-066</t>
  </si>
  <si>
    <t>DANIELA ANDREA VARGAS AREVALO</t>
  </si>
  <si>
    <t>BEX-0186</t>
  </si>
  <si>
    <t>PER-067</t>
  </si>
  <si>
    <t>JORGE LUIS PEDRAZA</t>
  </si>
  <si>
    <t>BEX-0156</t>
  </si>
  <si>
    <t>PER-068</t>
  </si>
  <si>
    <t>KATTERIN VANESA MEDRANO ESPEJO</t>
  </si>
  <si>
    <t>BEX-0166</t>
  </si>
  <si>
    <t>PER-069</t>
  </si>
  <si>
    <t>MARIA ELENA PERALTA JORDAN</t>
  </si>
  <si>
    <t>BEX-0124</t>
  </si>
  <si>
    <t>PER-070</t>
  </si>
  <si>
    <t>MARIA EMILIA HUAYLLA ALMANZA</t>
  </si>
  <si>
    <t>BEX-0179</t>
  </si>
  <si>
    <t>PER-071</t>
  </si>
  <si>
    <t>MARLENY ZULMA MAYNASA TAPIA</t>
  </si>
  <si>
    <t>PER-072</t>
  </si>
  <si>
    <t>PER-073</t>
  </si>
  <si>
    <t>PER-074</t>
  </si>
  <si>
    <t>TANIA MARCA NINA</t>
  </si>
  <si>
    <t>PER-075</t>
  </si>
  <si>
    <t>WILMA CONDORI ARIAS</t>
  </si>
  <si>
    <t>PER-076</t>
  </si>
  <si>
    <t>PER-077</t>
  </si>
  <si>
    <t>BEX-0113</t>
  </si>
  <si>
    <t>PER-078</t>
  </si>
  <si>
    <t>PER-079</t>
  </si>
  <si>
    <t>PER-080</t>
  </si>
  <si>
    <t>CAROLINA KIMBERLY QUISPE ARANCIBIA</t>
  </si>
  <si>
    <t>BEX-0119</t>
  </si>
  <si>
    <t>PER-081</t>
  </si>
  <si>
    <t>CRUZ TORRICO TATIANA CRISTINA</t>
  </si>
  <si>
    <t>BEX-0118</t>
  </si>
  <si>
    <t>PER-082</t>
  </si>
  <si>
    <t>DAYANA CELENCA CHACON PINTO</t>
  </si>
  <si>
    <t>BEX-0514</t>
  </si>
  <si>
    <t>PER-083</t>
  </si>
  <si>
    <t>DIEGO GORENA LINEO</t>
  </si>
  <si>
    <t>PER-084</t>
  </si>
  <si>
    <t>DORIAN KEVIN RAMIREZ MAMANI</t>
  </si>
  <si>
    <t>PER-085</t>
  </si>
  <si>
    <t>GIMENA MELVIS HUANCA GOMEZ</t>
  </si>
  <si>
    <t>BEX-0116</t>
  </si>
  <si>
    <t>PER-086</t>
  </si>
  <si>
    <t>JUAN JOSE MARQUEZ LLAVETA</t>
  </si>
  <si>
    <t>PER-087</t>
  </si>
  <si>
    <t>LUZ MARIBEL VIRACA TAQUIMALLCO</t>
  </si>
  <si>
    <t>BEX-0114</t>
  </si>
  <si>
    <t>PER-088</t>
  </si>
  <si>
    <t>RICHAR YAMIL AVAREZ CANAVIRI</t>
  </si>
  <si>
    <t>BEX-0117</t>
  </si>
  <si>
    <t>PER-089</t>
  </si>
  <si>
    <t>ZULMA FLORES CARICARI</t>
  </si>
  <si>
    <t>BEX-0115</t>
  </si>
  <si>
    <t>PER-090</t>
  </si>
  <si>
    <t>BEX-2000</t>
  </si>
  <si>
    <t>Registrado solo en ENTREGADOS</t>
  </si>
  <si>
    <t>PER-091</t>
  </si>
  <si>
    <t>BEX-0196</t>
  </si>
  <si>
    <t>PER-092</t>
  </si>
  <si>
    <t>ADRIAN ENRIQUE LOPEZ MERUBIA</t>
  </si>
  <si>
    <t>PER-093</t>
  </si>
  <si>
    <t>ANGELES NETZ CESPEDES</t>
  </si>
  <si>
    <t>PER-094</t>
  </si>
  <si>
    <t>Perdio credencial anterior - COBRAR POR PERDIDA</t>
  </si>
  <si>
    <t>PER-095</t>
  </si>
  <si>
    <t>DEIBY TASEO GUASASE</t>
  </si>
  <si>
    <t>PER-096</t>
  </si>
  <si>
    <t>JIMENA RIVERO LOAYZA</t>
  </si>
  <si>
    <t>BEX-0510</t>
  </si>
  <si>
    <t>PER-097</t>
  </si>
  <si>
    <t>LUIS FERNANDO ARAGUIRA CHAMO</t>
  </si>
  <si>
    <t>BEX-0501</t>
  </si>
  <si>
    <t>PER-098</t>
  </si>
  <si>
    <t>Perdio BEX-0518 - COBRAR POR PERDIDA</t>
  </si>
  <si>
    <t>PER-099</t>
  </si>
  <si>
    <t>SANDRA VERONICA VEGA TROCHE</t>
  </si>
  <si>
    <t>Gestora indico no le entregaron credencial</t>
  </si>
  <si>
    <t>PER-100</t>
  </si>
  <si>
    <t>SERAFIN LAYME MEDINA</t>
  </si>
  <si>
    <t>PER-101</t>
  </si>
  <si>
    <t>TOMAS (NOMBRE INCOMPLETO)</t>
  </si>
  <si>
    <t>BEX-0505</t>
  </si>
  <si>
    <t>Completar nombre completo</t>
  </si>
  <si>
    <t>PER-102</t>
  </si>
  <si>
    <t>LORENA (NOMBRE INCOMPLETO)</t>
  </si>
  <si>
    <t>BEX-0195</t>
  </si>
  <si>
    <t>PER-103</t>
  </si>
  <si>
    <t>PER-104</t>
  </si>
  <si>
    <t>DIANA HERRERA DORADO</t>
  </si>
  <si>
    <t>BEX-2001</t>
  </si>
  <si>
    <t>Sin asignar fisicamente</t>
  </si>
  <si>
    <t>PER-105</t>
  </si>
  <si>
    <t>EIBRAJAM ANEZ ROJAS</t>
  </si>
  <si>
    <t>BEX-2002</t>
  </si>
  <si>
    <t>PER-106</t>
  </si>
  <si>
    <t>GABRIELA QUINONES YPORRE</t>
  </si>
  <si>
    <t>BEX-2005</t>
  </si>
  <si>
    <t>PER-107</t>
  </si>
  <si>
    <t>RODRIGO VACA JUSTINIANO</t>
  </si>
  <si>
    <t>BEX-2004</t>
  </si>
  <si>
    <t>PER-108</t>
  </si>
  <si>
    <t>TOMAS JERSON MERCADO YPORRE</t>
  </si>
  <si>
    <t>BEX-2003</t>
  </si>
  <si>
    <t>PER-109</t>
  </si>
  <si>
    <t>BEX-2007</t>
  </si>
  <si>
    <t>PER-110</t>
  </si>
  <si>
    <t>DANIEL GUTIERREZ PEDRAZA</t>
  </si>
  <si>
    <t>BEX-0513</t>
  </si>
  <si>
    <t>PER-111</t>
  </si>
  <si>
    <t>DANIELA ASCARRAGA DOMINGUEZ</t>
  </si>
  <si>
    <t>BEX-0519</t>
  </si>
  <si>
    <t>PER-112</t>
  </si>
  <si>
    <t>DIEGO GUTIERREZ PEDRAZA</t>
  </si>
  <si>
    <t>BEX-2006</t>
  </si>
  <si>
    <t>PER-113</t>
  </si>
  <si>
    <t>KAREN LOPEZ CASTEDO</t>
  </si>
  <si>
    <t>BEX-0520</t>
  </si>
  <si>
    <t>PER-114</t>
  </si>
  <si>
    <t>VICTOR HUGO LINO BALDIVIESO</t>
  </si>
  <si>
    <t>BEX-2008</t>
  </si>
  <si>
    <t>PER-115</t>
  </si>
  <si>
    <t>SELMA (NOMBRE INCOMPLETO)</t>
  </si>
  <si>
    <t>BEX-2009</t>
  </si>
  <si>
    <t>PER-116</t>
  </si>
  <si>
    <t>BEX-0198</t>
  </si>
  <si>
    <t>PER-117</t>
  </si>
  <si>
    <t>GABRIELA GARCIA AREVALO</t>
  </si>
  <si>
    <t>BEX-0148</t>
  </si>
  <si>
    <t>PER-118</t>
  </si>
  <si>
    <t>JHENIFER LUCERO SERRUDO LLAMPA</t>
  </si>
  <si>
    <t>BEX-0027</t>
  </si>
  <si>
    <t>PER-119</t>
  </si>
  <si>
    <t>LUIS ANGEL SIHUAIROS CANO</t>
  </si>
  <si>
    <t>BEX-0145</t>
  </si>
  <si>
    <t>PER-120</t>
  </si>
  <si>
    <t>RENE NUNEZ SOLIS</t>
  </si>
  <si>
    <t>BEX-0150</t>
  </si>
  <si>
    <t>PER-121</t>
  </si>
  <si>
    <t>VERONICA NUNEZ PICHA</t>
  </si>
  <si>
    <t>BEX-0527</t>
  </si>
  <si>
    <t>PER-122</t>
  </si>
  <si>
    <t>BEX-2016</t>
  </si>
  <si>
    <t>Credenciales enviados por asignar</t>
  </si>
  <si>
    <t>PER-123</t>
  </si>
  <si>
    <t>ANA PAOLA REQUE PALMA</t>
  </si>
  <si>
    <t>BEX-2010</t>
  </si>
  <si>
    <t>Por asignar</t>
  </si>
  <si>
    <t>PER-124</t>
  </si>
  <si>
    <t>ANA PATRICIA ALFARO MENDEZ</t>
  </si>
  <si>
    <t>BEX-2011</t>
  </si>
  <si>
    <t>PER-125</t>
  </si>
  <si>
    <t>CRISTHIAN EDUARDO CHAVEZ ROMERO</t>
  </si>
  <si>
    <t>BEX-2012</t>
  </si>
  <si>
    <t>PER-126</t>
  </si>
  <si>
    <t>DANIEL ALBERTO TELLEZ TELLEZ</t>
  </si>
  <si>
    <t>PER-127</t>
  </si>
  <si>
    <t>MERCEDES CRUZ RUEDA</t>
  </si>
  <si>
    <t>BEX-2013</t>
  </si>
  <si>
    <t>PER-128</t>
  </si>
  <si>
    <t>PAULA VALDEZ FLORES</t>
  </si>
  <si>
    <t>BEX-2014</t>
  </si>
  <si>
    <t>PER-129</t>
  </si>
  <si>
    <t>REYNA YEVARA ZURITA</t>
  </si>
  <si>
    <t>PER-130</t>
  </si>
  <si>
    <t>VERONICA JUDITH GUTIERREZ RAMOS</t>
  </si>
  <si>
    <t>PER-131</t>
  </si>
  <si>
    <t>YENY GRACIELA FERNANDEZ SANCHEZ</t>
  </si>
  <si>
    <t>BEX-2015</t>
  </si>
  <si>
    <t>🪪  TABLA MAESTRA DE ACTIVOS  —  Sistema BEX Control de Credenciales</t>
  </si>
  <si>
    <t>GENERACIÓN</t>
  </si>
  <si>
    <t>ESTADO
CREDENCIAL</t>
  </si>
  <si>
    <t>RESPONSABLE
ACTUAL</t>
  </si>
  <si>
    <t>FECHA
ENTREGA</t>
  </si>
  <si>
    <t>DÍAS
EN USO</t>
  </si>
  <si>
    <t>LEGACY (BEX-0xxx)</t>
  </si>
  <si>
    <t>—</t>
  </si>
  <si>
    <t>BEX-0015</t>
  </si>
  <si>
    <t>NO ASIGNADO</t>
  </si>
  <si>
    <t>BEX-0033</t>
  </si>
  <si>
    <t>CAMILA LOZA MERINO / JHOSEP SHARUM QUISBERT</t>
  </si>
  <si>
    <t>⚠️ DUPLICADO CRITICO: Mismo codigo asignado a 2 personas en equipos distintos</t>
  </si>
  <si>
    <t>Normalizado de BEX-162</t>
  </si>
  <si>
    <t>CLAUDIA SHASKIA CALLE NINA / REYNA IVONNE CALLE NINA</t>
  </si>
  <si>
    <t>⚠️ DUPLICADO CRITICO: Mismo codigo asignado a 2 personas</t>
  </si>
  <si>
    <t>Normalizado de BEX-184</t>
  </si>
  <si>
    <t>LORENA (INACTIVO)</t>
  </si>
  <si>
    <t>Persona inactiva - nombre incompleto</t>
  </si>
  <si>
    <t>Normalizado de BEX-198</t>
  </si>
  <si>
    <t>Completar nombre</t>
  </si>
  <si>
    <t>Reportada como perdida - COBRAR AL GESTOR</t>
  </si>
  <si>
    <t>Normalizado de BEX-527</t>
  </si>
  <si>
    <t>BEX-0172</t>
  </si>
  <si>
    <t>EN OFICINA</t>
  </si>
  <si>
    <t>BEX-0174</t>
  </si>
  <si>
    <t>BEX-0193</t>
  </si>
  <si>
    <t>BEX-0194</t>
  </si>
  <si>
    <t>YESSENIA ALVAREZ VARGAS</t>
  </si>
  <si>
    <t>Segun INVENTARIO</t>
  </si>
  <si>
    <t>BEX-0197</t>
  </si>
  <si>
    <t>GIULIANA GUATIA</t>
  </si>
  <si>
    <t>BEX-0199</t>
  </si>
  <si>
    <t>BEX-0200</t>
  </si>
  <si>
    <t>BEX-0509</t>
  </si>
  <si>
    <t>BEX-0529</t>
  </si>
  <si>
    <t>BEX-0535</t>
  </si>
  <si>
    <t>NUEVA (BEX-2xxx)</t>
  </si>
  <si>
    <t>DELIA JORDAN</t>
  </si>
  <si>
    <t>Sin asignacion fisica</t>
  </si>
  <si>
    <t>JOSE GUTIERREZ</t>
  </si>
  <si>
    <t>SELMA (NUEVA)</t>
  </si>
  <si>
    <t>MARIA FERNANDA DAZA</t>
  </si>
  <si>
    <t>Credenciales enviados</t>
  </si>
  <si>
    <t>BEX-2017</t>
  </si>
  <si>
    <t>BEX-2018</t>
  </si>
  <si>
    <t>BEX-2019</t>
  </si>
  <si>
    <t>BEX-2020</t>
  </si>
  <si>
    <t>BEX-2021</t>
  </si>
  <si>
    <t>BEX-2022</t>
  </si>
  <si>
    <t>BEX-2023</t>
  </si>
  <si>
    <t>BEX-2024</t>
  </si>
  <si>
    <t>BEX-2025</t>
  </si>
  <si>
    <t>BEX-2026</t>
  </si>
  <si>
    <t>BEX-2027</t>
  </si>
  <si>
    <t>BEX-2028</t>
  </si>
  <si>
    <t>BEX-2029</t>
  </si>
  <si>
    <t>BEX-2030</t>
  </si>
  <si>
    <t>BEX-2031</t>
  </si>
  <si>
    <t>BEX-2032</t>
  </si>
  <si>
    <t>BEX-2033</t>
  </si>
  <si>
    <t>BEX-2034</t>
  </si>
  <si>
    <t>BEX-2035</t>
  </si>
  <si>
    <t>BEX-2036</t>
  </si>
  <si>
    <t>Reposicion por perdida de credencial anterior</t>
  </si>
  <si>
    <t>Reposicion - Perdio BEX-0518</t>
  </si>
  <si>
    <t>BEX-2047</t>
  </si>
  <si>
    <t>BEX-2048</t>
  </si>
  <si>
    <t>BEX-2049</t>
  </si>
  <si>
    <t>BEX-2050</t>
  </si>
  <si>
    <t>📋  HISTORIAL DE MOVIMIENTOS  —  Registro Permanente e Inmutable</t>
  </si>
  <si>
    <t>REGISTRADO POR</t>
  </si>
  <si>
    <t>MOV-0001</t>
  </si>
  <si>
    <t>Lote inaugural entregado a supervisor</t>
  </si>
  <si>
    <t>SISTEMA</t>
  </si>
  <si>
    <t>MOV-0002</t>
  </si>
  <si>
    <t>MOV-0003</t>
  </si>
  <si>
    <t>MOV-0004</t>
  </si>
  <si>
    <t>MOV-0005</t>
  </si>
  <si>
    <t>MOV-0006</t>
  </si>
  <si>
    <t>MOV-0007</t>
  </si>
  <si>
    <t>MOV-0008</t>
  </si>
  <si>
    <t>MOV-0009</t>
  </si>
  <si>
    <t>MOV-0010</t>
  </si>
  <si>
    <t>MOV-0011</t>
  </si>
  <si>
    <t>MOV-0012</t>
  </si>
  <si>
    <t>MOV-0013</t>
  </si>
  <si>
    <t>MOV-0014</t>
  </si>
  <si>
    <t>MOV-0015</t>
  </si>
  <si>
    <t>MOV-0016</t>
  </si>
  <si>
    <t>MOV-0017</t>
  </si>
  <si>
    <t>MOV-0018</t>
  </si>
  <si>
    <t>MOV-0019</t>
  </si>
  <si>
    <t>MOV-0020</t>
  </si>
  <si>
    <t>MOV-0021</t>
  </si>
  <si>
    <t>MOV-0022</t>
  </si>
  <si>
    <t>MOV-0023</t>
  </si>
  <si>
    <t>MOV-0024</t>
  </si>
  <si>
    <t>MOV-0025</t>
  </si>
  <si>
    <t>MOV-0026</t>
  </si>
  <si>
    <t>MOV-0027</t>
  </si>
  <si>
    <t>MOV-0028</t>
  </si>
  <si>
    <t>MOV-0029</t>
  </si>
  <si>
    <t>MOV-0030</t>
  </si>
  <si>
    <t>MOV-0031</t>
  </si>
  <si>
    <t>MOV-0032</t>
  </si>
  <si>
    <t>MOV-0033</t>
  </si>
  <si>
    <t>MOV-0034</t>
  </si>
  <si>
    <t>MOV-0035</t>
  </si>
  <si>
    <t>MOV-0036</t>
  </si>
  <si>
    <t>MOV-0037</t>
  </si>
  <si>
    <t>MOV-0038</t>
  </si>
  <si>
    <t>MOV-0039</t>
  </si>
  <si>
    <t>Reposicion por perdida</t>
  </si>
  <si>
    <t>Reposicion - perdio BEX-0518</t>
  </si>
  <si>
    <t>COBRAR POR PERDIDA</t>
  </si>
  <si>
    <t>Credencial anterior perdida - COBRAR</t>
  </si>
  <si>
    <t>⚙  PARÁMETROS DEL SISTEMA  —  BEX Control de Credenciales</t>
  </si>
  <si>
    <t>REGIONALES</t>
  </si>
  <si>
    <t>ESTADOS PERSONA</t>
  </si>
  <si>
    <t>ROLES</t>
  </si>
  <si>
    <t>ESTADOS CREDENCIAL</t>
  </si>
  <si>
    <t>TIPOS DE MOVIMIENTO</t>
  </si>
  <si>
    <t>GENERACION</t>
  </si>
  <si>
    <t>⚠  ERRORES CRÍTICOS DETECTADOS</t>
  </si>
  <si>
    <t>1. BEX-0176 asignado a DOS personas: CLAUDIA SHASKIA y REYNA IVONNE</t>
  </si>
  <si>
    <t>ASIGNACION</t>
  </si>
  <si>
    <t>2. BEX-0106 posiblemente duplicado: CAMILA LOZA (GERCY) y JHOSEP SHARUM (MAGALI)</t>
  </si>
  <si>
    <t>DEVOLUCION</t>
  </si>
  <si>
    <t>3. 3 personas con nombres incompletos: TOMAS, LORENA, SELMA</t>
  </si>
  <si>
    <t>4. BEX-0518 reportada como PERDIDA - pendiente cobro a MARCO ESCOBAR</t>
  </si>
  <si>
    <t>EN TRAMITE</t>
  </si>
  <si>
    <t>REPOSICION</t>
  </si>
  <si>
    <t>5. SUPERVISORES sin datos en hoja principal: LIONEL CHABUR, NATALIA VILLARROEL</t>
  </si>
  <si>
    <t>CAMBIO SUPERVISOR</t>
  </si>
  <si>
    <t>6. Codigos normalizados (espacios y ceros): BEX-162, BEX- 0176, BEX-027, etc.</t>
  </si>
  <si>
    <t>CAMBIO REGIONAL</t>
  </si>
  <si>
    <t>7. Todos los telefonos marcados como POR REGISTRAR - campo critico faltante</t>
  </si>
  <si>
    <t>BAJA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</si>
</sst>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dd/mm/yyyy"/>
  </numFmts>
  <fonts count="40" x14ac:knownFonts="1">
    <font>
      <sz val="11"/>
      <color theme="1"/>
      <name val="Calibri"/>
      <family val="2"/>
      <charset val="1"/>
    </font>
    <font>
      <b/>
      <sz val="14"/>
      <color rgb="FFFFFFFF"/>
      <name val="Calibri"/>
      <family val="2"/>
    </font>
    <font>
      <b/>
      <sz val="11"/>
      <color rgb="FFFFFFFF"/>
      <name val="Calibri"/>
      <family val="2"/>
    </font>
    <font>
      <b/>
      <sz val="9"/>
      <color rgb="FFFFFFFF"/>
      <name val="Calibri"/>
      <family val="2"/>
    </font>
    <font>
      <b/>
      <sz val="22"/>
      <color rgb="FF1B3A5C"/>
      <name val="Calibri"/>
      <family val="2"/>
    </font>
    <font>
      <b/>
      <sz val="22"/>
      <color rgb="FF17706E"/>
      <name val="Calibri"/>
      <family val="2"/>
    </font>
    <font>
      <b/>
      <sz val="22"/>
      <color rgb="FF2E75B6"/>
      <name val="Calibri"/>
      <family val="2"/>
    </font>
    <font>
      <b/>
      <sz val="22"/>
      <color rgb="FFBF8F00"/>
      <name val="Calibri"/>
      <family val="2"/>
    </font>
    <font>
      <b/>
      <sz val="22"/>
      <color rgb="FFC00000"/>
      <name val="Calibri"/>
      <family val="2"/>
    </font>
    <font>
      <b/>
      <sz val="22"/>
      <color rgb="FF595959"/>
      <name val="Calibri"/>
      <family val="2"/>
    </font>
    <font>
      <b/>
      <sz val="10"/>
      <color rgb="FFFFFFFF"/>
      <name val="Calibri"/>
      <family val="2"/>
    </font>
    <font>
      <b/>
      <sz val="10"/>
      <color rgb="FF000000"/>
      <name val="Calibri"/>
      <family val="2"/>
    </font>
    <font>
      <sz val="10"/>
      <name val="Calibri"/>
      <family val="2"/>
    </font>
    <font>
      <b/>
      <sz val="10"/>
      <name val="Calibri"/>
      <family val="2"/>
    </font>
    <font>
      <sz val="9"/>
      <color rgb="FF000000"/>
      <name val="Calibri"/>
      <family val="2"/>
    </font>
    <font>
      <sz val="9"/>
      <color rgb="FF595959"/>
      <name val="Calibri"/>
      <family val="2"/>
    </font>
    <font>
      <sz val="9"/>
      <name val="Calibri"/>
      <family val="2"/>
    </font>
    <font>
      <b/>
      <sz val="9"/>
      <color rgb="FF2E75B6"/>
      <name val="Calibri"/>
      <family val="2"/>
    </font>
    <font>
      <b/>
      <sz val="10"/>
      <color rgb="FF1B3A5C"/>
      <name val="Calibri"/>
      <family val="2"/>
    </font>
    <font>
      <b/>
      <sz val="9"/>
      <color rgb="FFC00000"/>
      <name val="Calibri"/>
      <family val="2"/>
    </font>
    <font>
      <b/>
      <sz val="14"/>
      <color rgb="FF1B3A5C"/>
      <name val="Calibri"/>
      <family val="2"/>
    </font>
    <font>
      <i/>
      <sz val="9"/>
      <color rgb="FF595959"/>
      <name val="Calibri"/>
      <family val="2"/>
    </font>
    <font>
      <b/>
      <sz val="11"/>
      <color rgb="FF1B3A5C"/>
      <name val="Calibri"/>
      <family val="2"/>
    </font>
    <font>
      <i/>
      <sz val="10"/>
      <color rgb="FF595959"/>
      <name val="Calibri"/>
      <family val="2"/>
    </font>
    <font>
      <sz val="10"/>
      <color rgb="FF1B3A5C"/>
      <name val="Calibri"/>
      <family val="2"/>
    </font>
    <font>
      <i/>
      <sz val="9"/>
      <color rgb="FFBF8F00"/>
      <name val="Calibri"/>
      <family val="2"/>
    </font>
    <font>
      <sz val="10"/>
      <color rgb="FF17706E"/>
      <name val="Calibri"/>
      <family val="2"/>
    </font>
    <font>
      <sz val="10"/>
      <color rgb="FF000000"/>
      <name val="Calibri"/>
      <family val="2"/>
    </font>
    <font>
      <b/>
      <sz val="10"/>
      <color rgb="FF00703C"/>
      <name val="Calibri"/>
      <family val="2"/>
    </font>
    <font>
      <b/>
      <sz val="10"/>
      <color rgb="FF2E75B6"/>
      <name val="Calibri"/>
      <family val="2"/>
    </font>
    <font>
      <sz val="10"/>
      <color rgb="FF595959"/>
      <name val="Calibri"/>
      <family val="2"/>
    </font>
    <font>
      <b/>
      <sz val="10"/>
      <color rgb="FF595959"/>
      <name val="Calibri"/>
      <family val="2"/>
    </font>
    <font>
      <b/>
      <sz val="10"/>
      <color rgb="FFC00000"/>
      <name val="Calibri"/>
      <family val="2"/>
    </font>
    <font>
      <b/>
      <sz val="10"/>
      <color rgb="FF375623"/>
      <name val="Calibri"/>
      <family val="2"/>
    </font>
    <font>
      <sz val="9"/>
      <color rgb="FFD9D9D9"/>
      <name val="Calibri"/>
      <family val="2"/>
    </font>
    <font>
      <sz val="9"/>
      <color rgb="FF17706E"/>
      <name val="Calibri"/>
      <family val="2"/>
    </font>
    <font>
      <b/>
      <sz val="10"/>
      <color rgb="FFBF8F00"/>
      <name val="Calibri"/>
      <family val="2"/>
    </font>
    <font>
      <b/>
      <sz val="9"/>
      <color rgb="FF595959"/>
      <name val="Calibri"/>
      <family val="2"/>
    </font>
    <font>
      <b/>
      <sz val="11"/>
      <color rgb="FFC00000"/>
      <name val="Calibri"/>
      <family val="2"/>
    </font>
    <font>
      <sz val="10"/>
      <color rgb="FF7F0000"/>
      <name val="Calibri"/>
      <family val="2"/>
    </font>
  </fonts>
  <fills count="21">
    <fill>
      <patternFill patternType="none"/>
    </fill>
    <fill>
      <patternFill patternType="gray125"/>
    </fill>
    <fill>
      <patternFill patternType="solid">
        <fgColor rgb="FF1B3A5C"/>
        <bgColor rgb="FF375623"/>
      </patternFill>
    </fill>
    <fill>
      <patternFill patternType="solid">
        <fgColor rgb="FF2E75B6"/>
        <bgColor rgb="FF17706E"/>
      </patternFill>
    </fill>
    <fill>
      <patternFill patternType="solid">
        <fgColor rgb="FF17706E"/>
        <bgColor rgb="FF008080"/>
      </patternFill>
    </fill>
    <fill>
      <patternFill patternType="solid">
        <fgColor rgb="FFBF8F00"/>
        <bgColor rgb="FF808000"/>
      </patternFill>
    </fill>
    <fill>
      <patternFill patternType="solid">
        <fgColor rgb="FFC00000"/>
        <bgColor rgb="FF800000"/>
      </patternFill>
    </fill>
    <fill>
      <patternFill patternType="solid">
        <fgColor rgb="FFD6E4F0"/>
        <bgColor rgb="FFD5EDEC"/>
      </patternFill>
    </fill>
    <fill>
      <patternFill patternType="solid">
        <fgColor rgb="FFD5EDEC"/>
        <bgColor rgb="FFD6E4F0"/>
      </patternFill>
    </fill>
    <fill>
      <patternFill patternType="solid">
        <fgColor rgb="FFFFF2CC"/>
        <bgColor rgb="FFFFF0F0"/>
      </patternFill>
    </fill>
    <fill>
      <patternFill patternType="solid">
        <fgColor rgb="FFFFE6E6"/>
        <bgColor rgb="FFFFF0F0"/>
      </patternFill>
    </fill>
    <fill>
      <patternFill patternType="solid">
        <fgColor rgb="FF595959"/>
        <bgColor rgb="FF375623"/>
      </patternFill>
    </fill>
    <fill>
      <patternFill patternType="solid">
        <fgColor rgb="FFF5F5F5"/>
        <bgColor rgb="FFF0F7E6"/>
      </patternFill>
    </fill>
    <fill>
      <patternFill patternType="solid">
        <fgColor rgb="FFFFFFFF"/>
        <bgColor rgb="FFF5F5F5"/>
      </patternFill>
    </fill>
    <fill>
      <patternFill patternType="solid">
        <fgColor rgb="FFC55A11"/>
        <bgColor rgb="FF993300"/>
      </patternFill>
    </fill>
    <fill>
      <patternFill patternType="solid">
        <fgColor rgb="FF5B3EA6"/>
        <bgColor rgb="FF595959"/>
      </patternFill>
    </fill>
    <fill>
      <patternFill patternType="solid">
        <fgColor rgb="FFEDE7F6"/>
        <bgColor rgb="FFEBF3FB"/>
      </patternFill>
    </fill>
    <fill>
      <patternFill patternType="solid">
        <fgColor rgb="FFEBF3FB"/>
        <bgColor rgb="FFF5F5F5"/>
      </patternFill>
    </fill>
    <fill>
      <patternFill patternType="solid">
        <fgColor rgb="FFE2EFDA"/>
        <bgColor rgb="FFD5EDEC"/>
      </patternFill>
    </fill>
    <fill>
      <patternFill patternType="solid">
        <fgColor rgb="FFF0F7E6"/>
        <bgColor rgb="FFF5F5F5"/>
      </patternFill>
    </fill>
    <fill>
      <patternFill patternType="solid">
        <fgColor rgb="FF375623"/>
        <bgColor rgb="FF595959"/>
      </patternFill>
    </fill>
  </fills>
  <borders count="5">
    <border>
      <left/>
      <right/>
      <top/>
      <bottom/>
      <diagonal/>
    </border>
    <border>
      <left style="thin">
        <color auto="1"/>
      </left>
      <right/>
      <top style="thin">
        <color auto="1"/>
      </top>
      <bottom style="thin">
        <color auto="1"/>
      </bottom>
      <diagonal/>
    </border>
    <border>
      <left style="thin">
        <color auto="1"/>
      </left>
      <right style="thin">
        <color auto="1"/>
      </right>
      <top style="thin">
        <color auto="1"/>
      </top>
      <bottom style="thin">
        <color auto="1"/>
      </bottom>
      <diagonal/>
    </border>
    <border>
      <left style="medium">
        <color rgb="FF5B3EA6"/>
      </left>
      <right/>
      <top style="medium">
        <color rgb="FF5B3EA6"/>
      </top>
      <bottom style="medium">
        <color rgb="FF5B3EA6"/>
      </bottom>
      <diagonal/>
    </border>
    <border>
      <left style="thin">
        <color auto="1"/>
      </left>
      <right/>
      <top style="thin">
        <color auto="1"/>
      </top>
      <bottom/>
      <diagonal/>
    </border>
  </borders>
  <cellStyleXfs count="1">
    <xf numFmtId="0" fontId="0" fillId="0" borderId="0"/>
  </cellStyleXfs>
  <cellXfs count="134">
    <xf numFmtId="0" fontId="0" fillId="0" borderId="0" xfId="0"/>
    <xf numFmtId="0" fontId="9" fillId="12" borderId="1" xfId="0" applyFont="1" applyFill="1" applyBorder="1" applyAlignment="1">
      <alignment horizontal="center" vertical="center"/>
    </xf>
    <xf numFmtId="0" fontId="3" fillId="11" borderId="1" xfId="0" applyFont="1" applyFill="1" applyBorder="1" applyAlignment="1">
      <alignment horizontal="center" vertical="center"/>
    </xf>
    <xf numFmtId="0" fontId="8" fillId="10" borderId="1" xfId="0" applyFont="1" applyFill="1" applyBorder="1" applyAlignment="1">
      <alignment horizontal="center" vertical="center"/>
    </xf>
    <xf numFmtId="0" fontId="7" fillId="9" borderId="1" xfId="0" applyFont="1" applyFill="1" applyBorder="1" applyAlignment="1">
      <alignment horizontal="center" vertical="center"/>
    </xf>
    <xf numFmtId="0" fontId="6" fillId="7" borderId="1" xfId="0" applyFont="1" applyFill="1" applyBorder="1" applyAlignment="1">
      <alignment horizontal="center" vertical="center"/>
    </xf>
    <xf numFmtId="0" fontId="5" fillId="8" borderId="1" xfId="0" applyFont="1" applyFill="1" applyBorder="1" applyAlignment="1">
      <alignment horizontal="center" vertical="center"/>
    </xf>
    <xf numFmtId="0" fontId="4" fillId="7" borderId="1" xfId="0" applyFont="1" applyFill="1" applyBorder="1" applyAlignment="1">
      <alignment horizontal="center" vertical="center"/>
    </xf>
    <xf numFmtId="0" fontId="3" fillId="6" borderId="1" xfId="0" applyFont="1" applyFill="1" applyBorder="1" applyAlignment="1">
      <alignment horizontal="center" vertical="center"/>
    </xf>
    <xf numFmtId="0" fontId="3" fillId="5" borderId="1" xfId="0" applyFont="1" applyFill="1" applyBorder="1" applyAlignment="1">
      <alignment horizontal="center" vertical="center"/>
    </xf>
    <xf numFmtId="0" fontId="3" fillId="3" borderId="1" xfId="0" applyFont="1" applyFill="1" applyBorder="1" applyAlignment="1">
      <alignment horizontal="center" vertical="center"/>
    </xf>
    <xf numFmtId="0" fontId="3" fillId="4" borderId="1" xfId="0" applyFont="1" applyFill="1" applyBorder="1" applyAlignment="1">
      <alignment horizontal="center" vertical="center"/>
    </xf>
    <xf numFmtId="0" fontId="3" fillId="2" borderId="1" xfId="0" applyFont="1" applyFill="1" applyBorder="1" applyAlignment="1">
      <alignment horizontal="center" vertical="center"/>
    </xf>
    <xf numFmtId="0" fontId="2" fillId="3" borderId="0" xfId="0" applyFont="1" applyFill="1" applyAlignment="1">
      <alignment horizontal="left" vertical="center"/>
    </xf>
    <xf numFmtId="0" fontId="1" fillId="2" borderId="0" xfId="0" applyFont="1" applyFill="1" applyAlignment="1">
      <alignment horizontal="center" vertical="center"/>
    </xf>
    <xf numFmtId="0" fontId="10" fillId="4" borderId="2" xfId="0" applyFont="1" applyFill="1" applyBorder="1" applyAlignment="1">
      <alignment horizontal="center" vertical="center" wrapText="1"/>
    </xf>
    <xf numFmtId="0" fontId="3" fillId="3" borderId="2" xfId="0" applyFont="1" applyFill="1" applyBorder="1" applyAlignment="1">
      <alignment horizontal="center" vertical="center" wrapText="1"/>
    </xf>
    <xf numFmtId="0" fontId="11" fillId="8" borderId="2" xfId="0" applyFont="1" applyFill="1" applyBorder="1" applyAlignment="1">
      <alignment horizontal="left" vertical="center"/>
    </xf>
    <xf numFmtId="0" fontId="12" fillId="8" borderId="2" xfId="0" applyFont="1" applyFill="1" applyBorder="1" applyAlignment="1">
      <alignment horizontal="center" vertical="center"/>
    </xf>
    <xf numFmtId="0" fontId="13" fillId="8" borderId="2" xfId="0" applyFont="1" applyFill="1" applyBorder="1" applyAlignment="1">
      <alignment horizontal="center" vertical="center"/>
    </xf>
    <xf numFmtId="164" fontId="12" fillId="8" borderId="2" xfId="0" applyNumberFormat="1" applyFont="1" applyFill="1" applyBorder="1" applyAlignment="1">
      <alignment horizontal="center" vertical="center"/>
    </xf>
    <xf numFmtId="0" fontId="14" fillId="7" borderId="2" xfId="0" applyFont="1" applyFill="1" applyBorder="1" applyAlignment="1">
      <alignment horizontal="left" vertical="center"/>
    </xf>
    <xf numFmtId="0" fontId="14" fillId="7" borderId="2" xfId="0" applyFont="1" applyFill="1" applyBorder="1" applyAlignment="1">
      <alignment horizontal="center" vertical="center"/>
    </xf>
    <xf numFmtId="0" fontId="12" fillId="7" borderId="2" xfId="0" applyFont="1" applyFill="1" applyBorder="1" applyAlignment="1">
      <alignment horizontal="center" vertical="center"/>
    </xf>
    <xf numFmtId="9" fontId="12" fillId="7" borderId="2" xfId="0" applyNumberFormat="1" applyFont="1" applyFill="1" applyBorder="1" applyAlignment="1">
      <alignment horizontal="center" vertical="center"/>
    </xf>
    <xf numFmtId="0" fontId="12" fillId="13" borderId="2" xfId="0" applyFont="1" applyFill="1" applyBorder="1" applyAlignment="1">
      <alignment horizontal="center" vertical="center"/>
    </xf>
    <xf numFmtId="0" fontId="13" fillId="13" borderId="2" xfId="0" applyFont="1" applyFill="1" applyBorder="1" applyAlignment="1">
      <alignment horizontal="center" vertical="center"/>
    </xf>
    <xf numFmtId="164" fontId="12" fillId="13" borderId="2" xfId="0" applyNumberFormat="1" applyFont="1" applyFill="1" applyBorder="1" applyAlignment="1">
      <alignment horizontal="center" vertical="center"/>
    </xf>
    <xf numFmtId="0" fontId="14" fillId="13" borderId="2" xfId="0" applyFont="1" applyFill="1" applyBorder="1" applyAlignment="1">
      <alignment horizontal="left" vertical="center"/>
    </xf>
    <xf numFmtId="0" fontId="14" fillId="13" borderId="2" xfId="0" applyFont="1" applyFill="1" applyBorder="1" applyAlignment="1">
      <alignment horizontal="center" vertical="center"/>
    </xf>
    <xf numFmtId="9" fontId="12" fillId="13" borderId="2" xfId="0" applyNumberFormat="1" applyFont="1" applyFill="1" applyBorder="1" applyAlignment="1">
      <alignment horizontal="center" vertical="center"/>
    </xf>
    <xf numFmtId="0" fontId="10" fillId="4" borderId="2" xfId="0" applyFont="1" applyFill="1" applyBorder="1" applyAlignment="1">
      <alignment horizontal="center" vertical="center"/>
    </xf>
    <xf numFmtId="0" fontId="2" fillId="4" borderId="2" xfId="0" applyFont="1" applyFill="1" applyBorder="1" applyAlignment="1">
      <alignment horizontal="center" vertical="center"/>
    </xf>
    <xf numFmtId="164" fontId="2" fillId="4" borderId="2" xfId="0" applyNumberFormat="1" applyFont="1" applyFill="1" applyBorder="1" applyAlignment="1">
      <alignment horizontal="center" vertical="center"/>
    </xf>
    <xf numFmtId="0" fontId="3" fillId="14" borderId="2" xfId="0" applyFont="1" applyFill="1" applyBorder="1" applyAlignment="1">
      <alignment horizontal="center" vertical="center" wrapText="1"/>
    </xf>
    <xf numFmtId="0" fontId="15" fillId="13" borderId="2" xfId="0" applyFont="1" applyFill="1" applyBorder="1" applyAlignment="1">
      <alignment horizontal="center" vertical="center"/>
    </xf>
    <xf numFmtId="165" fontId="16" fillId="13" borderId="2" xfId="0" applyNumberFormat="1" applyFont="1" applyFill="1" applyBorder="1" applyAlignment="1">
      <alignment horizontal="center" vertical="center"/>
    </xf>
    <xf numFmtId="0" fontId="17" fillId="7" borderId="2" xfId="0" applyFont="1" applyFill="1" applyBorder="1" applyAlignment="1">
      <alignment horizontal="center" vertical="center"/>
    </xf>
    <xf numFmtId="0" fontId="18" fillId="13" borderId="2" xfId="0" applyFont="1" applyFill="1" applyBorder="1" applyAlignment="1">
      <alignment horizontal="center" vertical="center"/>
    </xf>
    <xf numFmtId="0" fontId="15" fillId="9" borderId="2" xfId="0" applyFont="1" applyFill="1" applyBorder="1" applyAlignment="1">
      <alignment horizontal="center" vertical="center"/>
    </xf>
    <xf numFmtId="165" fontId="16" fillId="9" borderId="2" xfId="0" applyNumberFormat="1" applyFont="1" applyFill="1" applyBorder="1" applyAlignment="1">
      <alignment horizontal="center" vertical="center"/>
    </xf>
    <xf numFmtId="0" fontId="18" fillId="9" borderId="2" xfId="0" applyFont="1" applyFill="1" applyBorder="1" applyAlignment="1">
      <alignment horizontal="center" vertical="center"/>
    </xf>
    <xf numFmtId="0" fontId="14" fillId="9" borderId="2" xfId="0" applyFont="1" applyFill="1" applyBorder="1" applyAlignment="1">
      <alignment horizontal="left" vertical="center"/>
    </xf>
    <xf numFmtId="0" fontId="14" fillId="9" borderId="2" xfId="0" applyFont="1" applyFill="1" applyBorder="1" applyAlignment="1">
      <alignment horizontal="center" vertical="center"/>
    </xf>
    <xf numFmtId="0" fontId="19" fillId="10" borderId="2" xfId="0" applyFont="1" applyFill="1" applyBorder="1" applyAlignment="1">
      <alignment horizontal="center" vertical="center"/>
    </xf>
    <xf numFmtId="0" fontId="21" fillId="0" borderId="0" xfId="0" applyFont="1"/>
    <xf numFmtId="0" fontId="10" fillId="2" borderId="2" xfId="0" applyFont="1" applyFill="1" applyBorder="1" applyAlignment="1">
      <alignment horizontal="right" vertical="center"/>
    </xf>
    <xf numFmtId="0" fontId="10" fillId="2" borderId="2" xfId="0" applyFont="1" applyFill="1" applyBorder="1" applyAlignment="1">
      <alignment horizontal="center" vertical="center" wrapText="1"/>
    </xf>
    <xf numFmtId="0" fontId="25" fillId="9" borderId="2" xfId="0" applyFont="1" applyFill="1" applyBorder="1" applyAlignment="1">
      <alignment horizontal="center" vertical="center"/>
    </xf>
    <xf numFmtId="0" fontId="11" fillId="13" borderId="2" xfId="0" applyFont="1" applyFill="1" applyBorder="1" applyAlignment="1">
      <alignment horizontal="left" vertical="center"/>
    </xf>
    <xf numFmtId="0" fontId="26" fillId="13" borderId="2" xfId="0" applyFont="1" applyFill="1" applyBorder="1" applyAlignment="1">
      <alignment horizontal="center" vertical="center"/>
    </xf>
    <xf numFmtId="0" fontId="27" fillId="13" borderId="2" xfId="0" applyFont="1" applyFill="1" applyBorder="1" applyAlignment="1">
      <alignment horizontal="left" vertical="center"/>
    </xf>
    <xf numFmtId="0" fontId="11" fillId="13" borderId="2" xfId="0" applyFont="1" applyFill="1" applyBorder="1" applyAlignment="1">
      <alignment horizontal="center" vertical="center"/>
    </xf>
    <xf numFmtId="0" fontId="28" fillId="13" borderId="2" xfId="0" applyFont="1" applyFill="1" applyBorder="1" applyAlignment="1">
      <alignment horizontal="center" vertical="center"/>
    </xf>
    <xf numFmtId="0" fontId="29" fillId="13" borderId="2" xfId="0" applyFont="1" applyFill="1" applyBorder="1" applyAlignment="1">
      <alignment horizontal="center" vertical="center"/>
    </xf>
    <xf numFmtId="0" fontId="0" fillId="0" borderId="2" xfId="0" applyBorder="1"/>
    <xf numFmtId="0" fontId="14" fillId="13" borderId="2" xfId="0" applyFont="1" applyFill="1" applyBorder="1" applyAlignment="1">
      <alignment horizontal="left" vertical="center" wrapText="1"/>
    </xf>
    <xf numFmtId="0" fontId="18" fillId="17" borderId="2" xfId="0" applyFont="1" applyFill="1" applyBorder="1" applyAlignment="1">
      <alignment horizontal="center" vertical="center"/>
    </xf>
    <xf numFmtId="0" fontId="11" fillId="17" borderId="2" xfId="0" applyFont="1" applyFill="1" applyBorder="1" applyAlignment="1">
      <alignment horizontal="left" vertical="center"/>
    </xf>
    <xf numFmtId="0" fontId="30" fillId="17" borderId="2" xfId="0" applyFont="1" applyFill="1" applyBorder="1" applyAlignment="1">
      <alignment horizontal="center" vertical="center"/>
    </xf>
    <xf numFmtId="0" fontId="27" fillId="17" borderId="2" xfId="0" applyFont="1" applyFill="1" applyBorder="1" applyAlignment="1">
      <alignment horizontal="left" vertical="center"/>
    </xf>
    <xf numFmtId="0" fontId="11" fillId="17" borderId="2" xfId="0" applyFont="1" applyFill="1" applyBorder="1" applyAlignment="1">
      <alignment horizontal="center" vertical="center"/>
    </xf>
    <xf numFmtId="0" fontId="28" fillId="17" borderId="2" xfId="0" applyFont="1" applyFill="1" applyBorder="1" applyAlignment="1">
      <alignment horizontal="center" vertical="center"/>
    </xf>
    <xf numFmtId="0" fontId="29" fillId="17" borderId="2" xfId="0" applyFont="1" applyFill="1" applyBorder="1" applyAlignment="1">
      <alignment horizontal="center" vertical="center"/>
    </xf>
    <xf numFmtId="0" fontId="14" fillId="17" borderId="2" xfId="0" applyFont="1" applyFill="1" applyBorder="1" applyAlignment="1">
      <alignment horizontal="left" vertical="center" wrapText="1"/>
    </xf>
    <xf numFmtId="0" fontId="30" fillId="13" borderId="2" xfId="0" applyFont="1" applyFill="1" applyBorder="1" applyAlignment="1">
      <alignment horizontal="center" vertical="center"/>
    </xf>
    <xf numFmtId="0" fontId="26" fillId="17" borderId="2" xfId="0" applyFont="1" applyFill="1" applyBorder="1" applyAlignment="1">
      <alignment horizontal="center" vertical="center"/>
    </xf>
    <xf numFmtId="0" fontId="31" fillId="13" borderId="2" xfId="0" applyFont="1" applyFill="1" applyBorder="1" applyAlignment="1">
      <alignment horizontal="center" vertical="center"/>
    </xf>
    <xf numFmtId="0" fontId="11" fillId="9" borderId="2" xfId="0" applyFont="1" applyFill="1" applyBorder="1" applyAlignment="1">
      <alignment horizontal="left" vertical="center"/>
    </xf>
    <xf numFmtId="0" fontId="26" fillId="9" borderId="2" xfId="0" applyFont="1" applyFill="1" applyBorder="1" applyAlignment="1">
      <alignment horizontal="center" vertical="center"/>
    </xf>
    <xf numFmtId="0" fontId="27" fillId="9" borderId="2" xfId="0" applyFont="1" applyFill="1" applyBorder="1" applyAlignment="1">
      <alignment horizontal="left" vertical="center"/>
    </xf>
    <xf numFmtId="0" fontId="11" fillId="9" borderId="2" xfId="0" applyFont="1" applyFill="1" applyBorder="1" applyAlignment="1">
      <alignment horizontal="center" vertical="center"/>
    </xf>
    <xf numFmtId="0" fontId="28" fillId="9" borderId="2" xfId="0" applyFont="1" applyFill="1" applyBorder="1" applyAlignment="1">
      <alignment horizontal="center" vertical="center"/>
    </xf>
    <xf numFmtId="0" fontId="29" fillId="9" borderId="2" xfId="0" applyFont="1" applyFill="1" applyBorder="1" applyAlignment="1">
      <alignment horizontal="center" vertical="center"/>
    </xf>
    <xf numFmtId="0" fontId="14" fillId="9" borderId="2" xfId="0" applyFont="1" applyFill="1" applyBorder="1" applyAlignment="1">
      <alignment horizontal="left" vertical="center" wrapText="1"/>
    </xf>
    <xf numFmtId="0" fontId="32" fillId="13" borderId="2" xfId="0" applyFont="1" applyFill="1" applyBorder="1" applyAlignment="1">
      <alignment horizontal="center" vertical="center"/>
    </xf>
    <xf numFmtId="0" fontId="30" fillId="9" borderId="2" xfId="0" applyFont="1" applyFill="1" applyBorder="1" applyAlignment="1">
      <alignment horizontal="center" vertical="center"/>
    </xf>
    <xf numFmtId="0" fontId="32" fillId="17" borderId="2" xfId="0" applyFont="1" applyFill="1" applyBorder="1" applyAlignment="1">
      <alignment horizontal="center" vertical="center"/>
    </xf>
    <xf numFmtId="0" fontId="31" fillId="17" borderId="2" xfId="0" applyFont="1" applyFill="1" applyBorder="1" applyAlignment="1">
      <alignment horizontal="center" vertical="center"/>
    </xf>
    <xf numFmtId="0" fontId="22" fillId="13" borderId="2" xfId="0" applyFont="1" applyFill="1" applyBorder="1" applyAlignment="1">
      <alignment horizontal="center" vertical="center"/>
    </xf>
    <xf numFmtId="0" fontId="33" fillId="18" borderId="2" xfId="0" applyFont="1" applyFill="1" applyBorder="1" applyAlignment="1">
      <alignment horizontal="center" vertical="center"/>
    </xf>
    <xf numFmtId="0" fontId="34" fillId="13" borderId="2" xfId="0" applyFont="1" applyFill="1" applyBorder="1" applyAlignment="1">
      <alignment horizontal="center" vertical="center"/>
    </xf>
    <xf numFmtId="0" fontId="22" fillId="19" borderId="2" xfId="0" applyFont="1" applyFill="1" applyBorder="1" applyAlignment="1">
      <alignment horizontal="center" vertical="center"/>
    </xf>
    <xf numFmtId="0" fontId="15" fillId="19" borderId="2" xfId="0" applyFont="1" applyFill="1" applyBorder="1" applyAlignment="1">
      <alignment horizontal="center" vertical="center"/>
    </xf>
    <xf numFmtId="0" fontId="14" fillId="19" borderId="2" xfId="0" applyFont="1" applyFill="1" applyBorder="1" applyAlignment="1">
      <alignment horizontal="left" vertical="center"/>
    </xf>
    <xf numFmtId="0" fontId="14" fillId="19" borderId="2" xfId="0" applyFont="1" applyFill="1" applyBorder="1" applyAlignment="1">
      <alignment horizontal="center" vertical="center"/>
    </xf>
    <xf numFmtId="0" fontId="12" fillId="19" borderId="2" xfId="0" applyFont="1" applyFill="1" applyBorder="1" applyAlignment="1">
      <alignment horizontal="center" vertical="center"/>
    </xf>
    <xf numFmtId="0" fontId="34" fillId="19" borderId="2" xfId="0" applyFont="1" applyFill="1" applyBorder="1" applyAlignment="1">
      <alignment horizontal="center" vertical="center"/>
    </xf>
    <xf numFmtId="0" fontId="14" fillId="19" borderId="2" xfId="0" applyFont="1" applyFill="1" applyBorder="1" applyAlignment="1">
      <alignment horizontal="left" vertical="center" wrapText="1"/>
    </xf>
    <xf numFmtId="0" fontId="29" fillId="7" borderId="2" xfId="0" applyFont="1" applyFill="1" applyBorder="1" applyAlignment="1">
      <alignment horizontal="center" vertical="center"/>
    </xf>
    <xf numFmtId="0" fontId="22" fillId="10" borderId="2" xfId="0" applyFont="1" applyFill="1" applyBorder="1" applyAlignment="1">
      <alignment horizontal="center" vertical="center"/>
    </xf>
    <xf numFmtId="0" fontId="15" fillId="10" borderId="2" xfId="0" applyFont="1" applyFill="1" applyBorder="1" applyAlignment="1">
      <alignment horizontal="center" vertical="center"/>
    </xf>
    <xf numFmtId="0" fontId="33" fillId="10" borderId="2" xfId="0" applyFont="1" applyFill="1" applyBorder="1" applyAlignment="1">
      <alignment horizontal="center" vertical="center"/>
    </xf>
    <xf numFmtId="0" fontId="14" fillId="10" borderId="2" xfId="0" applyFont="1" applyFill="1" applyBorder="1" applyAlignment="1">
      <alignment horizontal="left" vertical="center"/>
    </xf>
    <xf numFmtId="0" fontId="14" fillId="10" borderId="2" xfId="0" applyFont="1" applyFill="1" applyBorder="1" applyAlignment="1">
      <alignment horizontal="center" vertical="center"/>
    </xf>
    <xf numFmtId="0" fontId="12" fillId="10" borderId="2" xfId="0" applyFont="1" applyFill="1" applyBorder="1" applyAlignment="1">
      <alignment horizontal="center" vertical="center"/>
    </xf>
    <xf numFmtId="0" fontId="34" fillId="10" borderId="2" xfId="0" applyFont="1" applyFill="1" applyBorder="1" applyAlignment="1">
      <alignment horizontal="center" vertical="center"/>
    </xf>
    <xf numFmtId="0" fontId="14" fillId="10" borderId="2" xfId="0" applyFont="1" applyFill="1" applyBorder="1" applyAlignment="1">
      <alignment horizontal="left" vertical="center" wrapText="1"/>
    </xf>
    <xf numFmtId="0" fontId="32" fillId="10" borderId="2" xfId="0" applyFont="1" applyFill="1" applyBorder="1" applyAlignment="1">
      <alignment horizontal="center" vertical="center"/>
    </xf>
    <xf numFmtId="0" fontId="35" fillId="13" borderId="2" xfId="0" applyFont="1" applyFill="1" applyBorder="1" applyAlignment="1">
      <alignment horizontal="center" vertical="center"/>
    </xf>
    <xf numFmtId="165" fontId="12" fillId="13" borderId="2" xfId="0" applyNumberFormat="1" applyFont="1" applyFill="1" applyBorder="1" applyAlignment="1">
      <alignment horizontal="center" vertical="center"/>
    </xf>
    <xf numFmtId="0" fontId="35" fillId="19" borderId="2" xfId="0" applyFont="1" applyFill="1" applyBorder="1" applyAlignment="1">
      <alignment horizontal="center" vertical="center"/>
    </xf>
    <xf numFmtId="0" fontId="36" fillId="9" borderId="2" xfId="0" applyFont="1" applyFill="1" applyBorder="1" applyAlignment="1">
      <alignment horizontal="center" vertical="center"/>
    </xf>
    <xf numFmtId="165" fontId="12" fillId="19" borderId="2" xfId="0" applyNumberFormat="1" applyFont="1" applyFill="1" applyBorder="1" applyAlignment="1">
      <alignment horizontal="center" vertical="center"/>
    </xf>
    <xf numFmtId="0" fontId="10" fillId="14" borderId="2" xfId="0" applyFont="1" applyFill="1" applyBorder="1" applyAlignment="1">
      <alignment horizontal="center" vertical="center" wrapText="1"/>
    </xf>
    <xf numFmtId="0" fontId="37" fillId="13" borderId="2" xfId="0" applyFont="1" applyFill="1" applyBorder="1" applyAlignment="1">
      <alignment horizontal="center" vertical="center"/>
    </xf>
    <xf numFmtId="165" fontId="13" fillId="13" borderId="2" xfId="0" applyNumberFormat="1" applyFont="1" applyFill="1" applyBorder="1" applyAlignment="1">
      <alignment horizontal="center" vertical="center"/>
    </xf>
    <xf numFmtId="0" fontId="37" fillId="17" borderId="2" xfId="0" applyFont="1" applyFill="1" applyBorder="1" applyAlignment="1">
      <alignment horizontal="center" vertical="center"/>
    </xf>
    <xf numFmtId="165" fontId="13" fillId="17" borderId="2" xfId="0" applyNumberFormat="1" applyFont="1" applyFill="1" applyBorder="1" applyAlignment="1">
      <alignment horizontal="center" vertical="center"/>
    </xf>
    <xf numFmtId="0" fontId="22" fillId="17" borderId="2" xfId="0" applyFont="1" applyFill="1" applyBorder="1" applyAlignment="1">
      <alignment horizontal="center" vertical="center"/>
    </xf>
    <xf numFmtId="0" fontId="14" fillId="17" borderId="2" xfId="0" applyFont="1" applyFill="1" applyBorder="1" applyAlignment="1">
      <alignment horizontal="left" vertical="center"/>
    </xf>
    <xf numFmtId="0" fontId="14" fillId="17" borderId="2" xfId="0" applyFont="1" applyFill="1" applyBorder="1" applyAlignment="1">
      <alignment horizontal="center" vertical="center"/>
    </xf>
    <xf numFmtId="0" fontId="34" fillId="17" borderId="2" xfId="0" applyFont="1" applyFill="1" applyBorder="1" applyAlignment="1">
      <alignment horizontal="center" vertical="center"/>
    </xf>
    <xf numFmtId="0" fontId="10" fillId="3" borderId="2" xfId="0" applyFont="1" applyFill="1" applyBorder="1" applyAlignment="1">
      <alignment horizontal="center" vertical="center" wrapText="1"/>
    </xf>
    <xf numFmtId="0" fontId="10" fillId="20" borderId="2" xfId="0" applyFont="1" applyFill="1" applyBorder="1" applyAlignment="1">
      <alignment horizontal="center" vertical="center" wrapText="1"/>
    </xf>
    <xf numFmtId="0" fontId="10" fillId="15" borderId="2" xfId="0" applyFont="1" applyFill="1" applyBorder="1" applyAlignment="1">
      <alignment horizontal="center" vertical="center" wrapText="1"/>
    </xf>
    <xf numFmtId="0" fontId="38" fillId="10" borderId="2" xfId="0" applyFont="1" applyFill="1" applyBorder="1" applyAlignment="1">
      <alignment horizontal="center" vertical="center"/>
    </xf>
    <xf numFmtId="0" fontId="12" fillId="13" borderId="2" xfId="0" applyFont="1" applyFill="1" applyBorder="1" applyAlignment="1">
      <alignment horizontal="left" vertical="center"/>
    </xf>
    <xf numFmtId="0" fontId="39" fillId="10" borderId="2" xfId="0" applyFont="1" applyFill="1" applyBorder="1" applyAlignment="1">
      <alignment horizontal="left" vertical="center" wrapText="1"/>
    </xf>
    <xf numFmtId="0" fontId="12" fillId="12" borderId="2" xfId="0" applyFont="1" applyFill="1" applyBorder="1" applyAlignment="1">
      <alignment horizontal="left" vertical="center"/>
    </xf>
    <xf numFmtId="0" fontId="39" fillId="9" borderId="2" xfId="0" applyFont="1" applyFill="1" applyBorder="1" applyAlignment="1">
      <alignment horizontal="left" vertical="center" wrapText="1"/>
    </xf>
    <xf numFmtId="0" fontId="30" fillId="9" borderId="2" xfId="0" applyFont="1" applyFill="1" applyBorder="1" applyAlignment="1">
      <alignment horizontal="left" vertical="center" wrapText="1"/>
    </xf>
    <xf numFmtId="0" fontId="2" fillId="4" borderId="1" xfId="0" applyFont="1" applyFill="1" applyBorder="1" applyAlignment="1">
      <alignment horizontal="center" vertical="center"/>
    </xf>
    <xf numFmtId="0" fontId="2" fillId="3" borderId="1" xfId="0" applyFont="1" applyFill="1" applyBorder="1" applyAlignment="1">
      <alignment horizontal="center" vertical="center"/>
    </xf>
    <xf numFmtId="0" fontId="2" fillId="14" borderId="0" xfId="0" applyFont="1" applyFill="1" applyAlignment="1">
      <alignment horizontal="left" vertical="center"/>
    </xf>
    <xf numFmtId="0" fontId="1" fillId="15" borderId="0" xfId="0" applyFont="1" applyFill="1" applyAlignment="1">
      <alignment horizontal="center" vertical="center"/>
    </xf>
    <xf numFmtId="0" fontId="10" fillId="15" borderId="0" xfId="0" applyFont="1" applyFill="1" applyAlignment="1">
      <alignment horizontal="center" vertical="center"/>
    </xf>
    <xf numFmtId="0" fontId="20" fillId="16" borderId="3" xfId="0" applyFont="1" applyFill="1" applyBorder="1" applyAlignment="1">
      <alignment horizontal="left" vertical="center"/>
    </xf>
    <xf numFmtId="0" fontId="2" fillId="4" borderId="0" xfId="0" applyFont="1" applyFill="1" applyAlignment="1">
      <alignment horizontal="left" vertical="center"/>
    </xf>
    <xf numFmtId="0" fontId="22" fillId="7" borderId="1" xfId="0" applyFont="1" applyFill="1" applyBorder="1" applyAlignment="1">
      <alignment horizontal="left" vertical="center"/>
    </xf>
    <xf numFmtId="0" fontId="23" fillId="9" borderId="4" xfId="0" applyFont="1" applyFill="1" applyBorder="1" applyAlignment="1">
      <alignment horizontal="left" vertical="top" wrapText="1"/>
    </xf>
    <xf numFmtId="0" fontId="24" fillId="7" borderId="4" xfId="0" applyFont="1" applyFill="1" applyBorder="1" applyAlignment="1">
      <alignment horizontal="left" vertical="top" wrapText="1"/>
    </xf>
    <xf numFmtId="0" fontId="1" fillId="4" borderId="0" xfId="0" applyFont="1" applyFill="1" applyAlignment="1">
      <alignment horizontal="center" vertical="center"/>
    </xf>
    <xf numFmtId="0" fontId="1" fillId="14" borderId="0" xfId="0" applyFont="1" applyFill="1" applyAlignment="1">
      <alignment horizontal="center" vertical="center"/>
    </xf>
  </cellXfs>
  <cellStyles count="1">
    <cellStyle name="Normal" xfId="0" builtinId="0"/>
  </cellStyles>
  <dxfs count="1">
    <dxf>
      <fill>
        <patternFill>
          <bgColor rgb="FFFFF0F0"/>
        </patternFill>
      </fill>
    </dxf>
  </dxfs>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7F0000"/>
      <rgbColor rgb="FF00703C"/>
      <rgbColor rgb="FF000080"/>
      <rgbColor rgb="FF808000"/>
      <rgbColor rgb="FF800080"/>
      <rgbColor rgb="FF17706E"/>
      <rgbColor rgb="FFD6E4F0"/>
      <rgbColor rgb="FF808080"/>
      <rgbColor rgb="FF9999FF"/>
      <rgbColor rgb="FF993366"/>
      <rgbColor rgb="FFFFF2CC"/>
      <rgbColor rgb="FFD5EDEC"/>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EBF3FB"/>
      <rgbColor rgb="FFE2EFDA"/>
      <rgbColor rgb="FFF0F7E6"/>
      <rgbColor rgb="FFEDE7F6"/>
      <rgbColor rgb="FFFFF0F0"/>
      <rgbColor rgb="FFF5F5F5"/>
      <rgbColor rgb="FFFFE6E6"/>
      <rgbColor rgb="FF2E75B6"/>
      <rgbColor rgb="FF33CCCC"/>
      <rgbColor rgb="FF99CC00"/>
      <rgbColor rgb="FFFFCC00"/>
      <rgbColor rgb="FFBF8F00"/>
      <rgbColor rgb="FFC55A11"/>
      <rgbColor rgb="FF595959"/>
      <rgbColor rgb="FF969696"/>
      <rgbColor rgb="FF1B3A5C"/>
      <rgbColor rgb="FF339966"/>
      <rgbColor rgb="FF003300"/>
      <rgbColor rgb="FF333300"/>
      <rgbColor rgb="FF993300"/>
      <rgbColor rgb="FF993366"/>
      <rgbColor rgb="FF5B3EA6"/>
      <rgbColor rgb="FF37562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0000000}" name="TBL_PERSONAL" displayName="TBL_PERSONAL" ref="A3:J134" totalsRowShown="0">
  <autoFilter ref="A3:J134" xr:uid="{00000000-0009-0000-0100-000003000000}"/>
  <tableColumns count="10">
    <tableColumn id="1" xr3:uid="{00000000-0010-0000-0000-000001000000}" name="ID PERSONA"/>
    <tableColumn id="2" xr3:uid="{00000000-0010-0000-0000-000002000000}" name="TELÉFONO_x000a_(ID ÚNICO)"/>
    <tableColumn id="3" xr3:uid="{00000000-0010-0000-0000-000003000000}" name="NOMBRES Y APELLIDOS"/>
    <tableColumn id="4" xr3:uid="{00000000-0010-0000-0000-000004000000}" name="ROL"/>
    <tableColumn id="5" xr3:uid="{00000000-0010-0000-0000-000005000000}" name="SUPERVISOR"/>
    <tableColumn id="6" xr3:uid="{00000000-0010-0000-0000-000006000000}" name="REGIONAL"/>
    <tableColumn id="7" xr3:uid="{00000000-0010-0000-0000-000007000000}" name="ESTADO"/>
    <tableColumn id="8" xr3:uid="{00000000-0010-0000-0000-000008000000}" name="CREDENCIAL_x000a_ACTUAL"/>
    <tableColumn id="9" xr3:uid="{00000000-0010-0000-0000-000009000000}" name="FECHA_x000a_INGRESO"/>
    <tableColumn id="10" xr3:uid="{00000000-0010-0000-0000-00000A000000}" name="OBSERVACIONES"/>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TBL_ACTIVOS" displayName="TBL_ACTIVOS" ref="A3:I130" totalsRowShown="0">
  <autoFilter ref="A3:I130" xr:uid="{00000000-0009-0000-0100-000001000000}"/>
  <tableColumns count="9">
    <tableColumn id="1" xr3:uid="{00000000-0010-0000-0100-000001000000}" name="CÓDIGO BEX"/>
    <tableColumn id="2" xr3:uid="{00000000-0010-0000-0100-000002000000}" name="GENERACIÓN"/>
    <tableColumn id="3" xr3:uid="{00000000-0010-0000-0100-000003000000}" name="ESTADO_x000a_CREDENCIAL"/>
    <tableColumn id="4" xr3:uid="{00000000-0010-0000-0100-000004000000}" name="RESPONSABLE_x000a_ACTUAL"/>
    <tableColumn id="5" xr3:uid="{00000000-0010-0000-0100-000005000000}" name="SUPERVISOR"/>
    <tableColumn id="6" xr3:uid="{00000000-0010-0000-0100-000006000000}" name="REGIONAL"/>
    <tableColumn id="7" xr3:uid="{00000000-0010-0000-0100-000007000000}" name="FECHA_x000a_ENTREGA"/>
    <tableColumn id="8" xr3:uid="{00000000-0010-0000-0100-000008000000}" name="DÍAS_x000a_EN USO"/>
    <tableColumn id="9" xr3:uid="{00000000-0010-0000-0100-000009000000}" name="OBSERVACIONES"/>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2000000}" name="TBL_MOVIMIENTOS" displayName="TBL_MOVIMIENTOS" ref="A3:I52" totalsRowShown="0">
  <autoFilter ref="A3:I52" xr:uid="{00000000-0009-0000-0100-000002000000}"/>
  <tableColumns count="9">
    <tableColumn id="1" xr3:uid="{00000000-0010-0000-0200-000001000000}" name="N° MOV"/>
    <tableColumn id="2" xr3:uid="{00000000-0010-0000-0200-000002000000}" name="FECHA"/>
    <tableColumn id="3" xr3:uid="{00000000-0010-0000-0200-000003000000}" name="TIPO MOVIMIENTO"/>
    <tableColumn id="4" xr3:uid="{00000000-0010-0000-0200-000004000000}" name="CÓDIGO BEX"/>
    <tableColumn id="5" xr3:uid="{00000000-0010-0000-0200-000005000000}" name="AFILIADOR"/>
    <tableColumn id="6" xr3:uid="{00000000-0010-0000-0200-000006000000}" name="SUPERVISOR"/>
    <tableColumn id="7" xr3:uid="{00000000-0010-0000-0200-000007000000}" name="REGIONAL"/>
    <tableColumn id="8" xr3:uid="{00000000-0010-0000-0200-000008000000}" name="OBSERVACIONES"/>
    <tableColumn id="9" xr3:uid="{00000000-0010-0000-0200-000009000000}" name="REGISTRADO POR"/>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B3A5C"/>
  </sheetPr>
  <dimension ref="A1:O43"/>
  <sheetViews>
    <sheetView showGridLines="0" zoomScaleNormal="100" workbookViewId="0">
      <pane ySplit="1" topLeftCell="A9" activePane="bottomLeft" state="frozen"/>
      <selection pane="bottomLeft" sqref="A1:N1"/>
    </sheetView>
  </sheetViews>
  <sheetFormatPr baseColWidth="10" defaultColWidth="8.6640625" defaultRowHeight="15" x14ac:dyDescent="0.2"/>
  <cols>
    <col min="1" max="1" width="18" customWidth="1"/>
    <col min="2" max="2" width="8" customWidth="1"/>
    <col min="3" max="6" width="10" customWidth="1"/>
    <col min="7" max="7" width="8" customWidth="1"/>
    <col min="8" max="8" width="3" customWidth="1"/>
    <col min="9" max="9" width="30" customWidth="1"/>
    <col min="10" max="10" width="14" customWidth="1"/>
    <col min="11" max="11" width="10" customWidth="1"/>
    <col min="12" max="14" width="8" customWidth="1"/>
  </cols>
  <sheetData>
    <row r="1" spans="1:15" ht="36" customHeight="1" x14ac:dyDescent="0.2">
      <c r="A1" s="14" t="s">
        <v>0</v>
      </c>
      <c r="B1" s="14"/>
      <c r="C1" s="14"/>
      <c r="D1" s="14"/>
      <c r="E1" s="14"/>
      <c r="F1" s="14"/>
      <c r="G1" s="14"/>
      <c r="H1" s="14"/>
      <c r="I1" s="14"/>
      <c r="J1" s="14"/>
      <c r="K1" s="14"/>
      <c r="L1" s="14"/>
      <c r="M1" s="14"/>
      <c r="N1" s="14"/>
    </row>
    <row r="2" spans="1:15" ht="7.5" customHeight="1" x14ac:dyDescent="0.2"/>
    <row r="3" spans="1:15" ht="21.75" customHeight="1" x14ac:dyDescent="0.2">
      <c r="A3" s="13" t="s">
        <v>1</v>
      </c>
      <c r="B3" s="13"/>
      <c r="C3" s="13"/>
      <c r="D3" s="13"/>
      <c r="E3" s="13"/>
      <c r="F3" s="13"/>
      <c r="G3" s="13"/>
      <c r="H3" s="13"/>
      <c r="I3" s="13"/>
      <c r="J3" s="13"/>
      <c r="K3" s="13"/>
      <c r="L3" s="13"/>
      <c r="M3" s="13"/>
      <c r="N3" s="13"/>
    </row>
    <row r="4" spans="1:15" ht="25.5" customHeight="1" x14ac:dyDescent="0.2">
      <c r="A4" s="12" t="s">
        <v>2</v>
      </c>
      <c r="B4" s="12"/>
      <c r="C4" s="12"/>
      <c r="D4" s="11" t="s">
        <v>3</v>
      </c>
      <c r="E4" s="11"/>
      <c r="F4" s="11"/>
      <c r="G4" s="10" t="s">
        <v>4</v>
      </c>
      <c r="H4" s="10"/>
      <c r="I4" s="10"/>
      <c r="J4" s="9" t="s">
        <v>5</v>
      </c>
      <c r="K4" s="9"/>
      <c r="L4" s="9"/>
      <c r="M4" s="8" t="s">
        <v>6</v>
      </c>
      <c r="N4" s="8"/>
      <c r="O4" s="8"/>
    </row>
    <row r="5" spans="1:15" ht="49.5" customHeight="1" x14ac:dyDescent="0.2">
      <c r="A5" s="7">
        <f>COUNTA(ACTIVOS!$A$4:$A$130)</f>
        <v>127</v>
      </c>
      <c r="B5" s="7"/>
      <c r="C5" s="7"/>
      <c r="D5" s="6">
        <f>COUNTIF(ACTIVOS!$C$4:$C$130,"ASIGNADO")</f>
        <v>76</v>
      </c>
      <c r="E5" s="6"/>
      <c r="F5" s="6"/>
      <c r="G5" s="5">
        <f>COUNTIF(ACTIVOS!$C$4:$C$130,"DISPONIBLE")</f>
        <v>15</v>
      </c>
      <c r="H5" s="5"/>
      <c r="I5" s="5"/>
      <c r="J5" s="4">
        <f>COUNTIF(ACTIVOS!$C$4:$C$130,"POR ASIGNAR")</f>
        <v>35</v>
      </c>
      <c r="K5" s="4"/>
      <c r="L5" s="4"/>
      <c r="M5" s="3">
        <f>COUNTIF(ACTIVOS!$C$4:$C$130,"PERDIDO")</f>
        <v>1</v>
      </c>
      <c r="N5" s="3"/>
      <c r="O5" s="3"/>
    </row>
    <row r="6" spans="1:15" ht="9.75" customHeight="1" x14ac:dyDescent="0.2"/>
    <row r="7" spans="1:15" ht="21.75" customHeight="1" x14ac:dyDescent="0.2">
      <c r="A7" s="13" t="s">
        <v>7</v>
      </c>
      <c r="B7" s="13"/>
      <c r="C7" s="13"/>
      <c r="D7" s="13"/>
      <c r="E7" s="13"/>
      <c r="F7" s="13"/>
      <c r="G7" s="13"/>
      <c r="H7" s="13"/>
      <c r="I7" s="13"/>
      <c r="J7" s="13"/>
      <c r="K7" s="13"/>
      <c r="L7" s="13"/>
      <c r="M7" s="13"/>
      <c r="N7" s="13"/>
    </row>
    <row r="8" spans="1:15" ht="25.5" customHeight="1" x14ac:dyDescent="0.2">
      <c r="A8" s="12" t="s">
        <v>8</v>
      </c>
      <c r="B8" s="12"/>
      <c r="C8" s="12"/>
      <c r="D8" s="11" t="s">
        <v>9</v>
      </c>
      <c r="E8" s="11"/>
      <c r="F8" s="11"/>
      <c r="G8" s="2" t="s">
        <v>10</v>
      </c>
      <c r="H8" s="2"/>
      <c r="I8" s="2"/>
      <c r="J8" s="10" t="s">
        <v>11</v>
      </c>
      <c r="K8" s="10"/>
      <c r="L8" s="10"/>
      <c r="M8" s="8" t="s">
        <v>12</v>
      </c>
      <c r="N8" s="8"/>
      <c r="O8" s="8"/>
    </row>
    <row r="9" spans="1:15" ht="49.5" customHeight="1" x14ac:dyDescent="0.2">
      <c r="A9" s="7">
        <f>COUNTA(PERSONAL!$A$4:$A$134)</f>
        <v>131</v>
      </c>
      <c r="B9" s="7"/>
      <c r="C9" s="7"/>
      <c r="D9" s="6">
        <f>COUNTIF(PERSONAL!$G$4:$G$134,"ACTIVO")</f>
        <v>95</v>
      </c>
      <c r="E9" s="6"/>
      <c r="F9" s="6"/>
      <c r="G9" s="1">
        <f>COUNTIF(PERSONAL!$G$4:$G$134,"INACTIVO")</f>
        <v>36</v>
      </c>
      <c r="H9" s="1"/>
      <c r="I9" s="1"/>
      <c r="J9" s="5">
        <f>COUNTIF(PERSONAL!$D$4:$D$134,"SUPERVISOR")</f>
        <v>16</v>
      </c>
      <c r="K9" s="5"/>
      <c r="L9" s="5"/>
      <c r="M9" s="3">
        <f>COUNTIF(PERSONAL!$J$4:$J$134,"*⚠️*")</f>
        <v>4</v>
      </c>
      <c r="N9" s="3"/>
      <c r="O9" s="3"/>
    </row>
    <row r="10" spans="1:15" ht="9.75" customHeight="1" x14ac:dyDescent="0.2"/>
    <row r="11" spans="1:15" ht="6" customHeight="1" x14ac:dyDescent="0.2"/>
    <row r="12" spans="1:15" ht="24" customHeight="1" x14ac:dyDescent="0.2">
      <c r="A12" s="122" t="s">
        <v>13</v>
      </c>
      <c r="B12" s="122"/>
      <c r="C12" s="122"/>
      <c r="D12" s="122"/>
      <c r="E12" s="122"/>
      <c r="F12" s="122"/>
      <c r="G12" s="122"/>
      <c r="I12" s="123" t="s">
        <v>14</v>
      </c>
      <c r="J12" s="123"/>
      <c r="K12" s="123"/>
      <c r="L12" s="123"/>
      <c r="M12" s="123"/>
      <c r="N12" s="123"/>
    </row>
    <row r="13" spans="1:15" ht="24" customHeight="1" x14ac:dyDescent="0.2">
      <c r="A13" s="15" t="s">
        <v>15</v>
      </c>
      <c r="B13" s="15" t="s">
        <v>16</v>
      </c>
      <c r="C13" s="15" t="s">
        <v>17</v>
      </c>
      <c r="D13" s="15" t="s">
        <v>5</v>
      </c>
      <c r="E13" s="15" t="s">
        <v>18</v>
      </c>
      <c r="F13" s="15" t="s">
        <v>19</v>
      </c>
      <c r="G13" s="15" t="s">
        <v>20</v>
      </c>
      <c r="I13" s="16" t="s">
        <v>21</v>
      </c>
      <c r="J13" s="16" t="s">
        <v>15</v>
      </c>
      <c r="K13" s="16" t="s">
        <v>16</v>
      </c>
      <c r="L13" s="16" t="s">
        <v>19</v>
      </c>
      <c r="M13" s="16" t="s">
        <v>10</v>
      </c>
      <c r="N13" s="16" t="s">
        <v>22</v>
      </c>
    </row>
    <row r="14" spans="1:15" ht="18" customHeight="1" x14ac:dyDescent="0.2">
      <c r="A14" s="17" t="s">
        <v>23</v>
      </c>
      <c r="B14" s="18">
        <f>COUNTIFS(ACTIVOS!$F$4:$F$130,A14,ACTIVOS!$C$4:$C$130,"ASIGNADO")</f>
        <v>18</v>
      </c>
      <c r="C14" s="18">
        <f>COUNTIFS(ACTIVOS!$F$4:$F$130,A14,ACTIVOS!$C$4:$C$130,"DISPONIBLE")</f>
        <v>2</v>
      </c>
      <c r="D14" s="18">
        <f>COUNTIFS(ACTIVOS!$F$4:$F$130,A14,ACTIVOS!$C$4:$C$130,"POR ASIGNAR")</f>
        <v>10</v>
      </c>
      <c r="E14" s="18">
        <f>COUNTIFS(ACTIVOS!$F$4:$F$130,A14,ACTIVOS!$C$4:$C$130,"PERDIDO")</f>
        <v>0</v>
      </c>
      <c r="F14" s="19">
        <f t="shared" ref="F14:F19" si="0">SUM(B14:E14)</f>
        <v>30</v>
      </c>
      <c r="G14" s="20">
        <f t="shared" ref="G14:G20" si="1">IFERROR(B14/F14,0)</f>
        <v>0.6</v>
      </c>
      <c r="I14" s="21" t="s">
        <v>24</v>
      </c>
      <c r="J14" s="22" t="s">
        <v>23</v>
      </c>
      <c r="K14" s="23">
        <f>COUNTIFS(ACTIVOS!$E$4:$E$130,I14,ACTIVOS!$C$4:$C$130,"ASIGNADO")</f>
        <v>9</v>
      </c>
      <c r="L14" s="23">
        <f>COUNTIF(ACTIVOS!$E$4:$E$130,I14)</f>
        <v>9</v>
      </c>
      <c r="M14" s="23">
        <f>COUNTIFS(PERSONAL!$E$4:$E$134,I14,PERSONAL!$G$4:$G$134,"INACTIVO")</f>
        <v>0</v>
      </c>
      <c r="N14" s="24">
        <f t="shared" ref="N14:N29" si="2">IFERROR(C14/D14,0)</f>
        <v>0.2</v>
      </c>
    </row>
    <row r="15" spans="1:15" ht="18" customHeight="1" x14ac:dyDescent="0.2">
      <c r="A15" s="17" t="s">
        <v>25</v>
      </c>
      <c r="B15" s="25">
        <f>COUNTIFS(ACTIVOS!$F$4:$F$130,A15,ACTIVOS!$C$4:$C$130,"ASIGNADO")</f>
        <v>29</v>
      </c>
      <c r="C15" s="25">
        <f>COUNTIFS(ACTIVOS!$F$4:$F$130,A15,ACTIVOS!$C$4:$C$130,"DISPONIBLE")</f>
        <v>0</v>
      </c>
      <c r="D15" s="25">
        <f>COUNTIFS(ACTIVOS!$F$4:$F$130,A15,ACTIVOS!$C$4:$C$130,"POR ASIGNAR")</f>
        <v>10</v>
      </c>
      <c r="E15" s="25">
        <f>COUNTIFS(ACTIVOS!$F$4:$F$130,A15,ACTIVOS!$C$4:$C$130,"PERDIDO")</f>
        <v>0</v>
      </c>
      <c r="F15" s="26">
        <f t="shared" si="0"/>
        <v>39</v>
      </c>
      <c r="G15" s="27">
        <f t="shared" si="1"/>
        <v>0.74358974358974361</v>
      </c>
      <c r="I15" s="28" t="s">
        <v>26</v>
      </c>
      <c r="J15" s="29" t="s">
        <v>23</v>
      </c>
      <c r="K15" s="25">
        <f>COUNTIFS(ACTIVOS!$E$4:$E$130,I15,ACTIVOS!$C$4:$C$130,"ASIGNADO")</f>
        <v>9</v>
      </c>
      <c r="L15" s="25">
        <f>COUNTIF(ACTIVOS!$E$4:$E$130,I15)</f>
        <v>11</v>
      </c>
      <c r="M15" s="25">
        <f>COUNTIFS(PERSONAL!$E$4:$E$134,I15,PERSONAL!$G$4:$G$134,"INACTIVO")</f>
        <v>0</v>
      </c>
      <c r="N15" s="30">
        <f t="shared" si="2"/>
        <v>0</v>
      </c>
    </row>
    <row r="16" spans="1:15" ht="18" customHeight="1" x14ac:dyDescent="0.2">
      <c r="A16" s="17" t="s">
        <v>27</v>
      </c>
      <c r="B16" s="18">
        <f>COUNTIFS(ACTIVOS!$F$4:$F$130,A16,ACTIVOS!$C$4:$C$130,"ASIGNADO")</f>
        <v>10</v>
      </c>
      <c r="C16" s="18">
        <f>COUNTIFS(ACTIVOS!$F$4:$F$130,A16,ACTIVOS!$C$4:$C$130,"DISPONIBLE")</f>
        <v>0</v>
      </c>
      <c r="D16" s="18">
        <f>COUNTIFS(ACTIVOS!$F$4:$F$130,A16,ACTIVOS!$C$4:$C$130,"POR ASIGNAR")</f>
        <v>0</v>
      </c>
      <c r="E16" s="18">
        <f>COUNTIFS(ACTIVOS!$F$4:$F$130,A16,ACTIVOS!$C$4:$C$130,"PERDIDO")</f>
        <v>0</v>
      </c>
      <c r="F16" s="19">
        <f t="shared" si="0"/>
        <v>10</v>
      </c>
      <c r="G16" s="20">
        <f t="shared" si="1"/>
        <v>1</v>
      </c>
      <c r="I16" s="21" t="s">
        <v>28</v>
      </c>
      <c r="J16" s="22" t="s">
        <v>23</v>
      </c>
      <c r="K16" s="23">
        <f>COUNTIFS(ACTIVOS!$E$4:$E$130,I16,ACTIVOS!$C$4:$C$130,"ASIGNADO")</f>
        <v>0</v>
      </c>
      <c r="L16" s="23">
        <f>COUNTIF(ACTIVOS!$E$4:$E$130,I16)</f>
        <v>10</v>
      </c>
      <c r="M16" s="23">
        <f>COUNTIFS(PERSONAL!$E$4:$E$134,I16,PERSONAL!$G$4:$G$134,"INACTIVO")</f>
        <v>0</v>
      </c>
      <c r="N16" s="24">
        <f t="shared" si="2"/>
        <v>0</v>
      </c>
    </row>
    <row r="17" spans="1:14" ht="18" customHeight="1" x14ac:dyDescent="0.2">
      <c r="A17" s="17" t="s">
        <v>29</v>
      </c>
      <c r="B17" s="25">
        <f>COUNTIFS(ACTIVOS!$F$4:$F$130,A17,ACTIVOS!$C$4:$C$130,"ASIGNADO")</f>
        <v>13</v>
      </c>
      <c r="C17" s="25">
        <f>COUNTIFS(ACTIVOS!$F$4:$F$130,A17,ACTIVOS!$C$4:$C$130,"DISPONIBLE")</f>
        <v>13</v>
      </c>
      <c r="D17" s="25">
        <f>COUNTIFS(ACTIVOS!$F$4:$F$130,A17,ACTIVOS!$C$4:$C$130,"POR ASIGNAR")</f>
        <v>8</v>
      </c>
      <c r="E17" s="25">
        <f>COUNTIFS(ACTIVOS!$F$4:$F$130,A17,ACTIVOS!$C$4:$C$130,"PERDIDO")</f>
        <v>1</v>
      </c>
      <c r="F17" s="26">
        <f t="shared" si="0"/>
        <v>35</v>
      </c>
      <c r="G17" s="27">
        <f t="shared" si="1"/>
        <v>0.37142857142857144</v>
      </c>
      <c r="I17" s="28" t="s">
        <v>30</v>
      </c>
      <c r="J17" s="29" t="s">
        <v>25</v>
      </c>
      <c r="K17" s="25">
        <f>COUNTIFS(ACTIVOS!$E$4:$E$130,I17,ACTIVOS!$C$4:$C$130,"ASIGNADO")</f>
        <v>7</v>
      </c>
      <c r="L17" s="25">
        <f>COUNTIF(ACTIVOS!$E$4:$E$130,I17)</f>
        <v>7</v>
      </c>
      <c r="M17" s="25">
        <f>COUNTIFS(PERSONAL!$E$4:$E$134,I17,PERSONAL!$G$4:$G$134,"INACTIVO")</f>
        <v>1</v>
      </c>
      <c r="N17" s="30">
        <f t="shared" si="2"/>
        <v>1.625</v>
      </c>
    </row>
    <row r="18" spans="1:14" ht="18" customHeight="1" x14ac:dyDescent="0.2">
      <c r="A18" s="17" t="s">
        <v>31</v>
      </c>
      <c r="B18" s="18">
        <f>COUNTIFS(ACTIVOS!$F$4:$F$130,A18,ACTIVOS!$C$4:$C$130,"ASIGNADO")</f>
        <v>6</v>
      </c>
      <c r="C18" s="18">
        <f>COUNTIFS(ACTIVOS!$F$4:$F$130,A18,ACTIVOS!$C$4:$C$130,"DISPONIBLE")</f>
        <v>0</v>
      </c>
      <c r="D18" s="18">
        <f>COUNTIFS(ACTIVOS!$F$4:$F$130,A18,ACTIVOS!$C$4:$C$130,"POR ASIGNAR")</f>
        <v>0</v>
      </c>
      <c r="E18" s="18">
        <f>COUNTIFS(ACTIVOS!$F$4:$F$130,A18,ACTIVOS!$C$4:$C$130,"PERDIDO")</f>
        <v>0</v>
      </c>
      <c r="F18" s="19">
        <f t="shared" si="0"/>
        <v>6</v>
      </c>
      <c r="G18" s="20">
        <f t="shared" si="1"/>
        <v>1</v>
      </c>
      <c r="I18" s="21" t="s">
        <v>32</v>
      </c>
      <c r="J18" s="22" t="s">
        <v>25</v>
      </c>
      <c r="K18" s="23">
        <f>COUNTIFS(ACTIVOS!$E$4:$E$130,I18,ACTIVOS!$C$4:$C$130,"ASIGNADO")</f>
        <v>5</v>
      </c>
      <c r="L18" s="23">
        <f>COUNTIF(ACTIVOS!$E$4:$E$130,I18)</f>
        <v>5</v>
      </c>
      <c r="M18" s="23">
        <f>COUNTIFS(PERSONAL!$E$4:$E$134,I18,PERSONAL!$G$4:$G$134,"INACTIVO")</f>
        <v>12</v>
      </c>
      <c r="N18" s="24">
        <f t="shared" si="2"/>
        <v>0</v>
      </c>
    </row>
    <row r="19" spans="1:14" ht="18" customHeight="1" x14ac:dyDescent="0.2">
      <c r="A19" s="17" t="s">
        <v>33</v>
      </c>
      <c r="B19" s="25">
        <f>COUNTIFS(ACTIVOS!$F$4:$F$130,A19,ACTIVOS!$C$4:$C$130,"ASIGNADO")</f>
        <v>0</v>
      </c>
      <c r="C19" s="25">
        <f>COUNTIFS(ACTIVOS!$F$4:$F$130,A19,ACTIVOS!$C$4:$C$130,"DISPONIBLE")</f>
        <v>0</v>
      </c>
      <c r="D19" s="25">
        <f>COUNTIFS(ACTIVOS!$F$4:$F$130,A19,ACTIVOS!$C$4:$C$130,"POR ASIGNAR")</f>
        <v>7</v>
      </c>
      <c r="E19" s="25">
        <f>COUNTIFS(ACTIVOS!$F$4:$F$130,A19,ACTIVOS!$C$4:$C$130,"PERDIDO")</f>
        <v>0</v>
      </c>
      <c r="F19" s="26">
        <f t="shared" si="0"/>
        <v>7</v>
      </c>
      <c r="G19" s="27">
        <f t="shared" si="1"/>
        <v>0</v>
      </c>
      <c r="I19" s="28" t="s">
        <v>34</v>
      </c>
      <c r="J19" s="29" t="s">
        <v>25</v>
      </c>
      <c r="K19" s="25">
        <f>COUNTIFS(ACTIVOS!$E$4:$E$130,I19,ACTIVOS!$C$4:$C$130,"ASIGNADO")</f>
        <v>7</v>
      </c>
      <c r="L19" s="25">
        <f>COUNTIF(ACTIVOS!$E$4:$E$130,I19)</f>
        <v>7</v>
      </c>
      <c r="M19" s="25">
        <f>COUNTIFS(PERSONAL!$E$4:$E$134,I19,PERSONAL!$G$4:$G$134,"INACTIVO")</f>
        <v>1</v>
      </c>
      <c r="N19" s="30">
        <f t="shared" si="2"/>
        <v>0</v>
      </c>
    </row>
    <row r="20" spans="1:14" ht="18" customHeight="1" x14ac:dyDescent="0.2">
      <c r="A20" s="31" t="s">
        <v>35</v>
      </c>
      <c r="B20" s="32">
        <f>SUM(B14:B19)</f>
        <v>76</v>
      </c>
      <c r="C20" s="32">
        <f>SUM(C14:C19)</f>
        <v>15</v>
      </c>
      <c r="D20" s="32">
        <f>SUM(D14:D19)</f>
        <v>35</v>
      </c>
      <c r="E20" s="32">
        <f>SUM(E14:E19)</f>
        <v>1</v>
      </c>
      <c r="F20" s="32">
        <f>SUM(F14:F19)</f>
        <v>127</v>
      </c>
      <c r="G20" s="33">
        <f t="shared" si="1"/>
        <v>0.59842519685039375</v>
      </c>
      <c r="I20" s="21" t="s">
        <v>36</v>
      </c>
      <c r="J20" s="22" t="s">
        <v>25</v>
      </c>
      <c r="K20" s="23">
        <f>COUNTIFS(ACTIVOS!$E$4:$E$130,I20,ACTIVOS!$C$4:$C$130,"ASIGNADO")</f>
        <v>0</v>
      </c>
      <c r="L20" s="23">
        <f>COUNTIF(ACTIVOS!$E$4:$E$130,I20)</f>
        <v>0</v>
      </c>
      <c r="M20" s="23">
        <f>COUNTIFS(PERSONAL!$E$4:$E$134,I20,PERSONAL!$G$4:$G$134,"INACTIVO")</f>
        <v>4</v>
      </c>
      <c r="N20" s="24">
        <f t="shared" si="2"/>
        <v>0.42857142857142855</v>
      </c>
    </row>
    <row r="21" spans="1:14" ht="18" customHeight="1" x14ac:dyDescent="0.2">
      <c r="I21" s="28" t="s">
        <v>37</v>
      </c>
      <c r="J21" s="29" t="s">
        <v>25</v>
      </c>
      <c r="K21" s="25">
        <f>COUNTIFS(ACTIVOS!$E$4:$E$130,I21,ACTIVOS!$C$4:$C$130,"ASIGNADO")</f>
        <v>10</v>
      </c>
      <c r="L21" s="25">
        <f>COUNTIF(ACTIVOS!$E$4:$E$130,I21)</f>
        <v>10</v>
      </c>
      <c r="M21" s="25">
        <f>COUNTIFS(PERSONAL!$E$4:$E$134,I21,PERSONAL!$G$4:$G$134,"INACTIVO")</f>
        <v>6</v>
      </c>
      <c r="N21" s="30">
        <f t="shared" si="2"/>
        <v>0</v>
      </c>
    </row>
    <row r="22" spans="1:14" ht="18" customHeight="1" x14ac:dyDescent="0.2">
      <c r="I22" s="21" t="s">
        <v>38</v>
      </c>
      <c r="J22" s="22" t="s">
        <v>25</v>
      </c>
      <c r="K22" s="23">
        <f>COUNTIFS(ACTIVOS!$E$4:$E$130,I22,ACTIVOS!$C$4:$C$130,"ASIGNADO")</f>
        <v>0</v>
      </c>
      <c r="L22" s="23">
        <f>COUNTIF(ACTIVOS!$E$4:$E$130,I22)</f>
        <v>10</v>
      </c>
      <c r="M22" s="23">
        <f>COUNTIFS(PERSONAL!$E$4:$E$134,I22,PERSONAL!$G$4:$G$134,"INACTIVO")</f>
        <v>0</v>
      </c>
      <c r="N22" s="24">
        <f t="shared" si="2"/>
        <v>0</v>
      </c>
    </row>
    <row r="23" spans="1:14" ht="18" customHeight="1" x14ac:dyDescent="0.2">
      <c r="I23" s="28" t="s">
        <v>39</v>
      </c>
      <c r="J23" s="29" t="s">
        <v>27</v>
      </c>
      <c r="K23" s="25">
        <f>COUNTIFS(ACTIVOS!$E$4:$E$130,I23,ACTIVOS!$C$4:$C$130,"ASIGNADO")</f>
        <v>10</v>
      </c>
      <c r="L23" s="25">
        <f>COUNTIF(ACTIVOS!$E$4:$E$130,I23)</f>
        <v>10</v>
      </c>
      <c r="M23" s="25">
        <f>COUNTIFS(PERSONAL!$E$4:$E$134,I23,PERSONAL!$G$4:$G$134,"INACTIVO")</f>
        <v>3</v>
      </c>
      <c r="N23" s="30">
        <f t="shared" si="2"/>
        <v>0</v>
      </c>
    </row>
    <row r="24" spans="1:14" ht="18" customHeight="1" x14ac:dyDescent="0.2">
      <c r="I24" s="21" t="s">
        <v>40</v>
      </c>
      <c r="J24" s="22" t="s">
        <v>29</v>
      </c>
      <c r="K24" s="23">
        <f>COUNTIFS(ACTIVOS!$E$4:$E$130,I24,ACTIVOS!$C$4:$C$130,"ASIGNADO")</f>
        <v>1</v>
      </c>
      <c r="L24" s="23">
        <f>COUNTIF(ACTIVOS!$E$4:$E$130,I24)</f>
        <v>1</v>
      </c>
      <c r="M24" s="23">
        <f>COUNTIFS(PERSONAL!$E$4:$E$134,I24,PERSONAL!$G$4:$G$134,"INACTIVO")</f>
        <v>0</v>
      </c>
      <c r="N24" s="24">
        <f t="shared" si="2"/>
        <v>0</v>
      </c>
    </row>
    <row r="25" spans="1:14" ht="18" customHeight="1" x14ac:dyDescent="0.2">
      <c r="I25" s="28" t="s">
        <v>41</v>
      </c>
      <c r="J25" s="29" t="s">
        <v>29</v>
      </c>
      <c r="K25" s="25">
        <f>COUNTIFS(ACTIVOS!$E$4:$E$130,I25,ACTIVOS!$C$4:$C$130,"ASIGNADO")</f>
        <v>6</v>
      </c>
      <c r="L25" s="25">
        <f>COUNTIF(ACTIVOS!$E$4:$E$130,I25)</f>
        <v>8</v>
      </c>
      <c r="M25" s="25">
        <f>COUNTIFS(PERSONAL!$E$4:$E$134,I25,PERSONAL!$G$4:$G$134,"INACTIVO")</f>
        <v>6</v>
      </c>
      <c r="N25" s="30">
        <f t="shared" si="2"/>
        <v>0</v>
      </c>
    </row>
    <row r="26" spans="1:14" ht="18" customHeight="1" x14ac:dyDescent="0.2">
      <c r="I26" s="21" t="s">
        <v>42</v>
      </c>
      <c r="J26" s="22" t="s">
        <v>29</v>
      </c>
      <c r="K26" s="23">
        <f>COUNTIFS(ACTIVOS!$E$4:$E$130,I26,ACTIVOS!$C$4:$C$130,"ASIGNADO")</f>
        <v>0</v>
      </c>
      <c r="L26" s="23">
        <f>COUNTIF(ACTIVOS!$E$4:$E$130,I26)</f>
        <v>0</v>
      </c>
      <c r="M26" s="23">
        <f>COUNTIFS(PERSONAL!$E$4:$E$134,I26,PERSONAL!$G$4:$G$134,"INACTIVO")</f>
        <v>0</v>
      </c>
      <c r="N26" s="24">
        <f t="shared" si="2"/>
        <v>0</v>
      </c>
    </row>
    <row r="27" spans="1:14" ht="18" customHeight="1" x14ac:dyDescent="0.2">
      <c r="I27" s="28" t="s">
        <v>43</v>
      </c>
      <c r="J27" s="29" t="s">
        <v>29</v>
      </c>
      <c r="K27" s="25">
        <f>COUNTIFS(ACTIVOS!$E$4:$E$130,I27,ACTIVOS!$C$4:$C$130,"ASIGNADO")</f>
        <v>3</v>
      </c>
      <c r="L27" s="25">
        <f>COUNTIF(ACTIVOS!$E$4:$E$130,I27)</f>
        <v>3</v>
      </c>
      <c r="M27" s="25">
        <f>COUNTIFS(PERSONAL!$E$4:$E$134,I27,PERSONAL!$G$4:$G$134,"INACTIVO")</f>
        <v>0</v>
      </c>
      <c r="N27" s="30">
        <f t="shared" si="2"/>
        <v>0</v>
      </c>
    </row>
    <row r="28" spans="1:14" ht="18" customHeight="1" x14ac:dyDescent="0.2">
      <c r="I28" s="21" t="s">
        <v>44</v>
      </c>
      <c r="J28" s="22" t="s">
        <v>31</v>
      </c>
      <c r="K28" s="23">
        <f>COUNTIFS(ACTIVOS!$E$4:$E$130,I28,ACTIVOS!$C$4:$C$130,"ASIGNADO")</f>
        <v>6</v>
      </c>
      <c r="L28" s="23">
        <f>COUNTIF(ACTIVOS!$E$4:$E$130,I28)</f>
        <v>6</v>
      </c>
      <c r="M28" s="23">
        <f>COUNTIFS(PERSONAL!$E$4:$E$134,I28,PERSONAL!$G$4:$G$134,"INACTIVO")</f>
        <v>0</v>
      </c>
      <c r="N28" s="24">
        <f t="shared" si="2"/>
        <v>0</v>
      </c>
    </row>
    <row r="29" spans="1:14" ht="18" customHeight="1" x14ac:dyDescent="0.2">
      <c r="I29" s="28" t="s">
        <v>45</v>
      </c>
      <c r="J29" s="29" t="s">
        <v>33</v>
      </c>
      <c r="K29" s="25">
        <f>COUNTIFS(ACTIVOS!$E$4:$E$130,I29,ACTIVOS!$C$4:$C$130,"ASIGNADO")</f>
        <v>0</v>
      </c>
      <c r="L29" s="25">
        <f>COUNTIF(ACTIVOS!$E$4:$E$130,I29)</f>
        <v>0</v>
      </c>
      <c r="M29" s="25">
        <f>COUNTIFS(PERSONAL!$E$4:$E$134,I29,PERSONAL!$G$4:$G$134,"INACTIVO")</f>
        <v>3</v>
      </c>
      <c r="N29" s="30">
        <f t="shared" si="2"/>
        <v>0</v>
      </c>
    </row>
    <row r="32" spans="1:14" ht="24" customHeight="1" x14ac:dyDescent="0.2">
      <c r="A32" s="124" t="s">
        <v>46</v>
      </c>
      <c r="B32" s="124"/>
      <c r="C32" s="124"/>
      <c r="D32" s="124"/>
      <c r="E32" s="124"/>
      <c r="F32" s="124"/>
      <c r="G32" s="124"/>
      <c r="H32" s="124"/>
      <c r="I32" s="124"/>
      <c r="J32" s="124"/>
      <c r="K32" s="124"/>
      <c r="L32" s="124"/>
      <c r="M32" s="124"/>
      <c r="N32" s="124"/>
    </row>
    <row r="33" spans="1:7" ht="21.75" customHeight="1" x14ac:dyDescent="0.2">
      <c r="A33" s="34" t="s">
        <v>47</v>
      </c>
      <c r="B33" s="34" t="s">
        <v>48</v>
      </c>
      <c r="C33" s="34" t="s">
        <v>49</v>
      </c>
      <c r="D33" s="34" t="s">
        <v>50</v>
      </c>
      <c r="E33" s="34" t="s">
        <v>51</v>
      </c>
      <c r="F33" s="34" t="s">
        <v>21</v>
      </c>
      <c r="G33" s="34" t="s">
        <v>15</v>
      </c>
    </row>
    <row r="34" spans="1:7" ht="18" customHeight="1" x14ac:dyDescent="0.2">
      <c r="A34" s="35" t="s">
        <v>52</v>
      </c>
      <c r="B34" s="36">
        <v>46176</v>
      </c>
      <c r="C34" s="37" t="s">
        <v>53</v>
      </c>
      <c r="D34" s="38" t="s">
        <v>54</v>
      </c>
      <c r="E34" s="28" t="s">
        <v>55</v>
      </c>
      <c r="F34" s="28" t="s">
        <v>34</v>
      </c>
      <c r="G34" s="29" t="s">
        <v>25</v>
      </c>
    </row>
    <row r="35" spans="1:7" ht="18" customHeight="1" x14ac:dyDescent="0.2">
      <c r="A35" s="39" t="s">
        <v>56</v>
      </c>
      <c r="B35" s="40">
        <v>46176</v>
      </c>
      <c r="C35" s="37" t="s">
        <v>53</v>
      </c>
      <c r="D35" s="41" t="s">
        <v>57</v>
      </c>
      <c r="E35" s="42" t="s">
        <v>37</v>
      </c>
      <c r="F35" s="42" t="s">
        <v>37</v>
      </c>
      <c r="G35" s="43" t="s">
        <v>25</v>
      </c>
    </row>
    <row r="36" spans="1:7" ht="18" customHeight="1" x14ac:dyDescent="0.2">
      <c r="A36" s="35" t="s">
        <v>58</v>
      </c>
      <c r="B36" s="36">
        <v>46176</v>
      </c>
      <c r="C36" s="37" t="s">
        <v>53</v>
      </c>
      <c r="D36" s="38" t="s">
        <v>59</v>
      </c>
      <c r="E36" s="28" t="s">
        <v>60</v>
      </c>
      <c r="F36" s="28" t="s">
        <v>37</v>
      </c>
      <c r="G36" s="29" t="s">
        <v>25</v>
      </c>
    </row>
    <row r="37" spans="1:7" ht="18" customHeight="1" x14ac:dyDescent="0.2">
      <c r="A37" s="39" t="s">
        <v>61</v>
      </c>
      <c r="B37" s="40">
        <v>46176</v>
      </c>
      <c r="C37" s="37" t="s">
        <v>53</v>
      </c>
      <c r="D37" s="41" t="s">
        <v>62</v>
      </c>
      <c r="E37" s="42" t="s">
        <v>63</v>
      </c>
      <c r="F37" s="42" t="s">
        <v>37</v>
      </c>
      <c r="G37" s="43" t="s">
        <v>25</v>
      </c>
    </row>
    <row r="38" spans="1:7" ht="18" customHeight="1" x14ac:dyDescent="0.2">
      <c r="A38" s="35" t="s">
        <v>64</v>
      </c>
      <c r="B38" s="36">
        <v>46176</v>
      </c>
      <c r="C38" s="37" t="s">
        <v>53</v>
      </c>
      <c r="D38" s="38" t="s">
        <v>65</v>
      </c>
      <c r="E38" s="28" t="s">
        <v>66</v>
      </c>
      <c r="F38" s="28" t="s">
        <v>39</v>
      </c>
      <c r="G38" s="29" t="s">
        <v>27</v>
      </c>
    </row>
    <row r="39" spans="1:7" ht="18" customHeight="1" x14ac:dyDescent="0.2">
      <c r="A39" s="39" t="s">
        <v>67</v>
      </c>
      <c r="B39" s="40">
        <v>46176</v>
      </c>
      <c r="C39" s="37" t="s">
        <v>53</v>
      </c>
      <c r="D39" s="41" t="s">
        <v>68</v>
      </c>
      <c r="E39" s="42" t="s">
        <v>69</v>
      </c>
      <c r="F39" s="42" t="s">
        <v>39</v>
      </c>
      <c r="G39" s="43" t="s">
        <v>27</v>
      </c>
    </row>
    <row r="40" spans="1:7" ht="18" customHeight="1" x14ac:dyDescent="0.2">
      <c r="A40" s="35" t="s">
        <v>70</v>
      </c>
      <c r="B40" s="36">
        <v>46176</v>
      </c>
      <c r="C40" s="37" t="s">
        <v>53</v>
      </c>
      <c r="D40" s="38" t="s">
        <v>71</v>
      </c>
      <c r="E40" s="28" t="s">
        <v>72</v>
      </c>
      <c r="F40" s="28" t="s">
        <v>41</v>
      </c>
      <c r="G40" s="29" t="s">
        <v>29</v>
      </c>
    </row>
    <row r="41" spans="1:7" ht="18" customHeight="1" x14ac:dyDescent="0.2">
      <c r="A41" s="39" t="s">
        <v>73</v>
      </c>
      <c r="B41" s="40">
        <v>46176</v>
      </c>
      <c r="C41" s="37" t="s">
        <v>53</v>
      </c>
      <c r="D41" s="41" t="s">
        <v>74</v>
      </c>
      <c r="E41" s="42" t="s">
        <v>75</v>
      </c>
      <c r="F41" s="42" t="s">
        <v>41</v>
      </c>
      <c r="G41" s="43" t="s">
        <v>29</v>
      </c>
    </row>
    <row r="42" spans="1:7" ht="18" customHeight="1" x14ac:dyDescent="0.2">
      <c r="A42" s="35" t="s">
        <v>76</v>
      </c>
      <c r="B42" s="36">
        <v>46176</v>
      </c>
      <c r="C42" s="44" t="s">
        <v>77</v>
      </c>
      <c r="D42" s="38" t="s">
        <v>78</v>
      </c>
      <c r="E42" s="28" t="s">
        <v>75</v>
      </c>
      <c r="F42" s="28" t="s">
        <v>41</v>
      </c>
      <c r="G42" s="29" t="s">
        <v>29</v>
      </c>
    </row>
    <row r="43" spans="1:7" ht="18" customHeight="1" x14ac:dyDescent="0.2">
      <c r="A43" s="39" t="s">
        <v>79</v>
      </c>
      <c r="B43" s="40">
        <v>46176</v>
      </c>
      <c r="C43" s="44" t="s">
        <v>77</v>
      </c>
      <c r="D43" s="41" t="s">
        <v>71</v>
      </c>
      <c r="E43" s="42" t="s">
        <v>72</v>
      </c>
      <c r="F43" s="42" t="s">
        <v>41</v>
      </c>
      <c r="G43" s="43" t="s">
        <v>29</v>
      </c>
    </row>
  </sheetData>
  <mergeCells count="26">
    <mergeCell ref="A12:G12"/>
    <mergeCell ref="I12:N12"/>
    <mergeCell ref="A32:N32"/>
    <mergeCell ref="A9:C9"/>
    <mergeCell ref="D9:F9"/>
    <mergeCell ref="G9:I9"/>
    <mergeCell ref="J9:L9"/>
    <mergeCell ref="M9:O9"/>
    <mergeCell ref="A7:N7"/>
    <mergeCell ref="A8:C8"/>
    <mergeCell ref="D8:F8"/>
    <mergeCell ref="G8:I8"/>
    <mergeCell ref="J8:L8"/>
    <mergeCell ref="M8:O8"/>
    <mergeCell ref="A5:C5"/>
    <mergeCell ref="D5:F5"/>
    <mergeCell ref="G5:I5"/>
    <mergeCell ref="J5:L5"/>
    <mergeCell ref="M5:O5"/>
    <mergeCell ref="A1:N1"/>
    <mergeCell ref="A3:N3"/>
    <mergeCell ref="A4:C4"/>
    <mergeCell ref="D4:F4"/>
    <mergeCell ref="G4:I4"/>
    <mergeCell ref="J4:L4"/>
    <mergeCell ref="M4:O4"/>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5B3EA6"/>
  </sheetPr>
  <dimension ref="A1:H37"/>
  <sheetViews>
    <sheetView showGridLines="0" zoomScaleNormal="100" workbookViewId="0">
      <selection activeCell="C6" sqref="C6:H6"/>
    </sheetView>
  </sheetViews>
  <sheetFormatPr baseColWidth="10" defaultColWidth="8.6640625" defaultRowHeight="15" x14ac:dyDescent="0.2"/>
  <cols>
    <col min="1" max="1" width="3" customWidth="1"/>
    <col min="2" max="2" width="22" customWidth="1"/>
    <col min="3" max="3" width="8" customWidth="1"/>
    <col min="4" max="4" width="40" customWidth="1"/>
    <col min="5" max="8" width="8" customWidth="1"/>
  </cols>
  <sheetData>
    <row r="1" spans="1:8" ht="31.5" customHeight="1" x14ac:dyDescent="0.2">
      <c r="A1" s="125" t="s">
        <v>80</v>
      </c>
      <c r="B1" s="125"/>
      <c r="C1" s="125"/>
      <c r="D1" s="125"/>
      <c r="E1" s="125"/>
      <c r="F1" s="125"/>
      <c r="G1" s="125"/>
      <c r="H1" s="125"/>
    </row>
    <row r="3" spans="1:8" ht="30" customHeight="1" x14ac:dyDescent="0.2">
      <c r="A3" s="126" t="s">
        <v>81</v>
      </c>
      <c r="B3" s="126"/>
      <c r="C3" s="127"/>
      <c r="D3" s="127"/>
      <c r="E3" s="127"/>
      <c r="F3" s="127"/>
      <c r="G3" s="45" t="s">
        <v>82</v>
      </c>
    </row>
    <row r="4" spans="1:8" ht="7.5" customHeight="1" x14ac:dyDescent="0.2"/>
    <row r="5" spans="1:8" ht="24" customHeight="1" x14ac:dyDescent="0.2">
      <c r="A5" s="128" t="s">
        <v>83</v>
      </c>
      <c r="B5" s="128"/>
      <c r="C5" s="128"/>
      <c r="D5" s="128"/>
      <c r="E5" s="128"/>
      <c r="F5" s="128"/>
      <c r="G5" s="128"/>
      <c r="H5" s="128"/>
    </row>
    <row r="6" spans="1:8" ht="21.75" customHeight="1" x14ac:dyDescent="0.2">
      <c r="B6" s="46" t="s">
        <v>84</v>
      </c>
      <c r="C6" s="129" t="str">
        <f ca="1">IFERROR(_xludf.xlookup(C3,ACTIVOS!$A$4:$A$130,ACTIVOS!$A$4:$A$130,"NO ENCONTRADO"),"NO ENCONTRADO")</f>
        <v>NO ENCONTRADO</v>
      </c>
      <c r="D6" s="129"/>
      <c r="E6" s="129"/>
      <c r="F6" s="129"/>
      <c r="G6" s="129"/>
      <c r="H6" s="129"/>
    </row>
    <row r="7" spans="1:8" ht="21.75" customHeight="1" x14ac:dyDescent="0.2">
      <c r="B7" s="46" t="s">
        <v>85</v>
      </c>
      <c r="C7" s="129" t="str">
        <f ca="1">IFERROR(_xludf.xlookup(C3,ACTIVOS!$A$4:$A$130,ACTIVOS!$B$4:$B$130,"—"),"—")</f>
        <v>—</v>
      </c>
      <c r="D7" s="129"/>
      <c r="E7" s="129"/>
      <c r="F7" s="129"/>
      <c r="G7" s="129"/>
      <c r="H7" s="129"/>
    </row>
    <row r="8" spans="1:8" ht="21.75" customHeight="1" x14ac:dyDescent="0.2">
      <c r="B8" s="46" t="s">
        <v>86</v>
      </c>
      <c r="C8" s="129" t="str">
        <f ca="1">IFERROR(_xludf.xlookup(C3,ACTIVOS!$A$4:$A$130,ACTIVOS!$C$4:$C$130,"—"),"—")</f>
        <v>—</v>
      </c>
      <c r="D8" s="129"/>
      <c r="E8" s="129"/>
      <c r="F8" s="129"/>
      <c r="G8" s="129"/>
      <c r="H8" s="129"/>
    </row>
    <row r="9" spans="1:8" ht="21.75" customHeight="1" x14ac:dyDescent="0.2">
      <c r="B9" s="46" t="s">
        <v>87</v>
      </c>
      <c r="C9" s="129" t="str">
        <f ca="1">IFERROR(_xludf.xlookup(C3,ACTIVOS!$A$4:$A$130,ACTIVOS!$D$4:$D$130,"—"),"—")</f>
        <v>—</v>
      </c>
      <c r="D9" s="129"/>
      <c r="E9" s="129"/>
      <c r="F9" s="129"/>
      <c r="G9" s="129"/>
      <c r="H9" s="129"/>
    </row>
    <row r="10" spans="1:8" ht="21.75" customHeight="1" x14ac:dyDescent="0.2">
      <c r="B10" s="46" t="s">
        <v>88</v>
      </c>
      <c r="C10" s="129" t="str">
        <f ca="1">IFERROR(_xludf.xlookup(C3,ACTIVOS!$A$4:$A$130,ACTIVOS!$E$4:$E$130,"—"),"—")</f>
        <v>—</v>
      </c>
      <c r="D10" s="129"/>
      <c r="E10" s="129"/>
      <c r="F10" s="129"/>
      <c r="G10" s="129"/>
      <c r="H10" s="129"/>
    </row>
    <row r="11" spans="1:8" ht="21.75" customHeight="1" x14ac:dyDescent="0.2">
      <c r="B11" s="46" t="s">
        <v>89</v>
      </c>
      <c r="C11" s="129" t="str">
        <f ca="1">IFERROR(_xludf.xlookup(C3,ACTIVOS!$A$4:$A$130,ACTIVOS!$F$4:$F$130,"—"),"—")</f>
        <v>—</v>
      </c>
      <c r="D11" s="129"/>
      <c r="E11" s="129"/>
      <c r="F11" s="129"/>
      <c r="G11" s="129"/>
      <c r="H11" s="129"/>
    </row>
    <row r="12" spans="1:8" ht="21.75" customHeight="1" x14ac:dyDescent="0.2">
      <c r="B12" s="46" t="s">
        <v>90</v>
      </c>
      <c r="C12" s="129" t="str">
        <f ca="1">IFERROR(_xludf.xlookup(C3,ACTIVOS!$A$4:$A$130,ACTIVOS!$G$4:$G$130,"—"),"—")</f>
        <v>—</v>
      </c>
      <c r="D12" s="129"/>
      <c r="E12" s="129"/>
      <c r="F12" s="129"/>
      <c r="G12" s="129"/>
      <c r="H12" s="129"/>
    </row>
    <row r="13" spans="1:8" ht="21.75" customHeight="1" x14ac:dyDescent="0.2">
      <c r="B13" s="46" t="s">
        <v>91</v>
      </c>
      <c r="C13" s="129" t="str">
        <f ca="1">IFERROR(_xludf.xlookup(C3,ACTIVOS!$A$4:$A$130,ACTIVOS!$H$4:$H$130,"—"),"—")</f>
        <v>—</v>
      </c>
      <c r="D13" s="129"/>
      <c r="E13" s="129"/>
      <c r="F13" s="129"/>
      <c r="G13" s="129"/>
      <c r="H13" s="129"/>
    </row>
    <row r="14" spans="1:8" ht="21.75" customHeight="1" x14ac:dyDescent="0.2">
      <c r="B14" s="46" t="s">
        <v>92</v>
      </c>
      <c r="C14" s="129" t="str">
        <f ca="1">IFERROR(_xludf.xlookup(C3,ACTIVOS!$A$4:$A$130,ACTIVOS!$I$4:$I$130,"—"),"—")</f>
        <v>—</v>
      </c>
      <c r="D14" s="129"/>
      <c r="E14" s="129"/>
      <c r="F14" s="129"/>
      <c r="G14" s="129"/>
      <c r="H14" s="129"/>
    </row>
    <row r="15" spans="1:8" ht="9.75" customHeight="1" x14ac:dyDescent="0.2"/>
    <row r="16" spans="1:8" ht="24" customHeight="1" x14ac:dyDescent="0.2">
      <c r="A16" s="13" t="s">
        <v>93</v>
      </c>
      <c r="B16" s="13"/>
      <c r="C16" s="13"/>
      <c r="D16" s="13"/>
      <c r="E16" s="13"/>
      <c r="F16" s="13"/>
      <c r="G16" s="13"/>
      <c r="H16" s="13"/>
    </row>
    <row r="17" spans="1:8" ht="21.75" customHeight="1" x14ac:dyDescent="0.2">
      <c r="B17" s="46" t="s">
        <v>94</v>
      </c>
      <c r="C17" s="129" t="str">
        <f ca="1">IFERROR(_xludf.xlookup(C3,PERSONAL!$C$4:$C$134,PERSONAL!$C$4:$C$134,IFERROR(_xludf.xlookup(C3,PERSONAL!$B$4:$B$134,PERSONAL!$C$4:$C$134,"NO ENCONTRADO"),"NO ENCONTRADO")),"NO ENCONTRADO")</f>
        <v>NO ENCONTRADO</v>
      </c>
      <c r="D17" s="129"/>
      <c r="E17" s="129"/>
      <c r="F17" s="129"/>
      <c r="G17" s="129"/>
      <c r="H17" s="129"/>
    </row>
    <row r="18" spans="1:8" ht="21.75" customHeight="1" x14ac:dyDescent="0.2">
      <c r="B18" s="46" t="s">
        <v>95</v>
      </c>
      <c r="C18" s="129" t="str">
        <f ca="1">IFERROR(_xludf.xlookup(C3,PERSONAL!$C$4:$C$134,PERSONAL!$B$4:$B$134,IFERROR(_xludf.xlookup(C3,PERSONAL!$B$4:$B$134,PERSONAL!$B$4:$B$134,"—"),"—")),"—")</f>
        <v>—</v>
      </c>
      <c r="D18" s="129"/>
      <c r="E18" s="129"/>
      <c r="F18" s="129"/>
      <c r="G18" s="129"/>
      <c r="H18" s="129"/>
    </row>
    <row r="19" spans="1:8" ht="21.75" customHeight="1" x14ac:dyDescent="0.2">
      <c r="B19" s="46" t="s">
        <v>96</v>
      </c>
      <c r="C19" s="129" t="str">
        <f ca="1">IFERROR(_xludf.xlookup(C3,PERSONAL!$C$4:$C$134,PERSONAL!$D$4:$D$134,IFERROR(_xludf.xlookup(C3,PERSONAL!$B$4:$B$134,PERSONAL!$D$4:$D$134,"—"),"—")),"—")</f>
        <v>—</v>
      </c>
      <c r="D19" s="129"/>
      <c r="E19" s="129"/>
      <c r="F19" s="129"/>
      <c r="G19" s="129"/>
      <c r="H19" s="129"/>
    </row>
    <row r="20" spans="1:8" ht="21.75" customHeight="1" x14ac:dyDescent="0.2">
      <c r="B20" s="46" t="s">
        <v>88</v>
      </c>
      <c r="C20" s="129" t="str">
        <f ca="1">IFERROR(_xludf.xlookup(C3,PERSONAL!$C$4:$C$134,PERSONAL!$E$4:$E$134,IFERROR(_xludf.xlookup(C3,PERSONAL!$B$4:$B$134,PERSONAL!$E$4:$E$134,"—"),"—")),"—")</f>
        <v>—</v>
      </c>
      <c r="D20" s="129"/>
      <c r="E20" s="129"/>
      <c r="F20" s="129"/>
      <c r="G20" s="129"/>
      <c r="H20" s="129"/>
    </row>
    <row r="21" spans="1:8" ht="21.75" customHeight="1" x14ac:dyDescent="0.2">
      <c r="B21" s="46" t="s">
        <v>89</v>
      </c>
      <c r="C21" s="129" t="str">
        <f ca="1">IFERROR(_xludf.xlookup(C3,PERSONAL!$C$4:$C$134,PERSONAL!$F$4:$F$134,IFERROR(_xludf.xlookup(C3,PERSONAL!$B$4:$B$134,PERSONAL!$F$4:$F$134,"—"),"—")),"—")</f>
        <v>—</v>
      </c>
      <c r="D21" s="129"/>
      <c r="E21" s="129"/>
      <c r="F21" s="129"/>
      <c r="G21" s="129"/>
      <c r="H21" s="129"/>
    </row>
    <row r="22" spans="1:8" ht="21.75" customHeight="1" x14ac:dyDescent="0.2">
      <c r="B22" s="46" t="s">
        <v>86</v>
      </c>
      <c r="C22" s="129" t="str">
        <f ca="1">IFERROR(_xludf.xlookup(C3,PERSONAL!$C$4:$C$134,PERSONAL!$G$4:$G$134,IFERROR(_xludf.xlookup(C3,PERSONAL!$B$4:$B$134,PERSONAL!$G$4:$G$134,"—"),"—")),"—")</f>
        <v>—</v>
      </c>
      <c r="D22" s="129"/>
      <c r="E22" s="129"/>
      <c r="F22" s="129"/>
      <c r="G22" s="129"/>
      <c r="H22" s="129"/>
    </row>
    <row r="23" spans="1:8" ht="21.75" customHeight="1" x14ac:dyDescent="0.2">
      <c r="B23" s="46" t="s">
        <v>97</v>
      </c>
      <c r="C23" s="129" t="str">
        <f ca="1">IFERROR(_xludf.xlookup(C3,PERSONAL!$C$4:$C$134,PERSONAL!$H$4:$H$134,IFERROR(_xludf.xlookup(C3,PERSONAL!$B$4:$B$134,PERSONAL!$H$4:$H$134,"—"),"—")),"—")</f>
        <v>—</v>
      </c>
      <c r="D23" s="129"/>
      <c r="E23" s="129"/>
      <c r="F23" s="129"/>
      <c r="G23" s="129"/>
      <c r="H23" s="129"/>
    </row>
    <row r="24" spans="1:8" ht="21.75" customHeight="1" x14ac:dyDescent="0.2">
      <c r="B24" s="46" t="s">
        <v>92</v>
      </c>
      <c r="C24" s="129" t="str">
        <f ca="1">IFERROR(_xludf.xlookup(C3,PERSONAL!$C$4:$C$134,PERSONAL!$J$4:$J$134,IFERROR(_xludf.xlookup(C3,PERSONAL!$B$4:$B$134,PERSONAL!$J$4:$J$134,"—"),"—")),"—")</f>
        <v>—</v>
      </c>
      <c r="D24" s="129"/>
      <c r="E24" s="129"/>
      <c r="F24" s="129"/>
      <c r="G24" s="129"/>
      <c r="H24" s="129"/>
    </row>
    <row r="25" spans="1:8" ht="9.75" customHeight="1" x14ac:dyDescent="0.2"/>
    <row r="26" spans="1:8" ht="24" customHeight="1" x14ac:dyDescent="0.2">
      <c r="A26" s="124" t="s">
        <v>98</v>
      </c>
      <c r="B26" s="124"/>
      <c r="C26" s="124"/>
      <c r="D26" s="124"/>
      <c r="E26" s="124"/>
      <c r="F26" s="124"/>
      <c r="G26" s="124"/>
      <c r="H26" s="124"/>
    </row>
    <row r="27" spans="1:8" ht="21.75" customHeight="1" x14ac:dyDescent="0.2">
      <c r="A27" s="34" t="s">
        <v>47</v>
      </c>
      <c r="B27" s="34" t="s">
        <v>48</v>
      </c>
      <c r="C27" s="34" t="s">
        <v>99</v>
      </c>
      <c r="D27" s="34" t="s">
        <v>50</v>
      </c>
      <c r="E27" s="34" t="s">
        <v>51</v>
      </c>
      <c r="F27" s="34" t="s">
        <v>21</v>
      </c>
      <c r="G27" s="34" t="s">
        <v>15</v>
      </c>
      <c r="H27" s="34" t="s">
        <v>100</v>
      </c>
    </row>
    <row r="28" spans="1:8" ht="79.5" customHeight="1" x14ac:dyDescent="0.2">
      <c r="A28" s="130" t="s">
        <v>101</v>
      </c>
      <c r="B28" s="130"/>
      <c r="C28" s="130"/>
      <c r="D28" s="130"/>
      <c r="E28" s="130"/>
      <c r="F28" s="130"/>
      <c r="G28" s="130"/>
      <c r="H28" s="130"/>
    </row>
    <row r="29" spans="1:8" ht="15" customHeight="1" x14ac:dyDescent="0.2">
      <c r="A29" s="130"/>
      <c r="B29" s="130"/>
      <c r="C29" s="130"/>
      <c r="D29" s="130"/>
      <c r="E29" s="130"/>
      <c r="F29" s="130"/>
      <c r="G29" s="130"/>
      <c r="H29" s="130"/>
    </row>
    <row r="30" spans="1:8" ht="15" customHeight="1" x14ac:dyDescent="0.2">
      <c r="A30" s="130"/>
      <c r="B30" s="130"/>
      <c r="C30" s="130"/>
      <c r="D30" s="130"/>
      <c r="E30" s="130"/>
      <c r="F30" s="130"/>
      <c r="G30" s="130"/>
      <c r="H30" s="130"/>
    </row>
    <row r="31" spans="1:8" ht="15" customHeight="1" x14ac:dyDescent="0.2">
      <c r="A31" s="130"/>
      <c r="B31" s="130"/>
      <c r="C31" s="130"/>
      <c r="D31" s="130"/>
      <c r="E31" s="130"/>
      <c r="F31" s="130"/>
      <c r="G31" s="130"/>
      <c r="H31" s="130"/>
    </row>
    <row r="32" spans="1:8" ht="15" customHeight="1" x14ac:dyDescent="0.2">
      <c r="A32" s="130"/>
      <c r="B32" s="130"/>
      <c r="C32" s="130"/>
      <c r="D32" s="130"/>
      <c r="E32" s="130"/>
      <c r="F32" s="130"/>
      <c r="G32" s="130"/>
      <c r="H32" s="130"/>
    </row>
    <row r="34" spans="1:8" ht="60" customHeight="1" x14ac:dyDescent="0.2">
      <c r="A34" s="131" t="s">
        <v>102</v>
      </c>
      <c r="B34" s="131"/>
      <c r="C34" s="131"/>
      <c r="D34" s="131"/>
      <c r="E34" s="131"/>
      <c r="F34" s="131"/>
      <c r="G34" s="131"/>
      <c r="H34" s="131"/>
    </row>
    <row r="35" spans="1:8" ht="15" customHeight="1" x14ac:dyDescent="0.2">
      <c r="A35" s="131"/>
      <c r="B35" s="131"/>
      <c r="C35" s="131"/>
      <c r="D35" s="131"/>
      <c r="E35" s="131"/>
      <c r="F35" s="131"/>
      <c r="G35" s="131"/>
      <c r="H35" s="131"/>
    </row>
    <row r="36" spans="1:8" ht="15" customHeight="1" x14ac:dyDescent="0.2">
      <c r="A36" s="131"/>
      <c r="B36" s="131"/>
      <c r="C36" s="131"/>
      <c r="D36" s="131"/>
      <c r="E36" s="131"/>
      <c r="F36" s="131"/>
      <c r="G36" s="131"/>
      <c r="H36" s="131"/>
    </row>
    <row r="37" spans="1:8" ht="15" customHeight="1" x14ac:dyDescent="0.2">
      <c r="A37" s="131"/>
      <c r="B37" s="131"/>
      <c r="C37" s="131"/>
      <c r="D37" s="131"/>
      <c r="E37" s="131"/>
      <c r="F37" s="131"/>
      <c r="G37" s="131"/>
      <c r="H37" s="131"/>
    </row>
  </sheetData>
  <mergeCells count="25">
    <mergeCell ref="C23:H23"/>
    <mergeCell ref="C24:H24"/>
    <mergeCell ref="A26:H26"/>
    <mergeCell ref="A28:H32"/>
    <mergeCell ref="A34:H37"/>
    <mergeCell ref="C18:H18"/>
    <mergeCell ref="C19:H19"/>
    <mergeCell ref="C20:H20"/>
    <mergeCell ref="C21:H21"/>
    <mergeCell ref="C22:H22"/>
    <mergeCell ref="C12:H12"/>
    <mergeCell ref="C13:H13"/>
    <mergeCell ref="C14:H14"/>
    <mergeCell ref="A16:H16"/>
    <mergeCell ref="C17:H17"/>
    <mergeCell ref="C7:H7"/>
    <mergeCell ref="C8:H8"/>
    <mergeCell ref="C9:H9"/>
    <mergeCell ref="C10:H10"/>
    <mergeCell ref="C11:H11"/>
    <mergeCell ref="A1:H1"/>
    <mergeCell ref="A3:B3"/>
    <mergeCell ref="C3:F3"/>
    <mergeCell ref="A5:H5"/>
    <mergeCell ref="C6:H6"/>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2E75B6"/>
  </sheetPr>
  <dimension ref="A1:J134"/>
  <sheetViews>
    <sheetView showGridLines="0" zoomScaleNormal="100" workbookViewId="0">
      <pane ySplit="3" topLeftCell="A4" activePane="bottomLeft" state="frozen"/>
      <selection pane="bottomLeft" activeCell="G59" sqref="G59"/>
    </sheetView>
  </sheetViews>
  <sheetFormatPr baseColWidth="10" defaultColWidth="8.6640625" defaultRowHeight="15" x14ac:dyDescent="0.2"/>
  <cols>
    <col min="1" max="1" width="11" customWidth="1"/>
    <col min="2" max="2" width="15" customWidth="1"/>
    <col min="3" max="3" width="36" customWidth="1"/>
    <col min="4" max="4" width="12" customWidth="1"/>
    <col min="5" max="5" width="34" customWidth="1"/>
    <col min="6" max="6" width="14" customWidth="1"/>
    <col min="7" max="7" width="10" customWidth="1"/>
    <col min="8" max="8" width="12" customWidth="1"/>
    <col min="9" max="9" width="11" customWidth="1"/>
    <col min="10" max="10" width="45" customWidth="1"/>
  </cols>
  <sheetData>
    <row r="1" spans="1:10" ht="31.5" customHeight="1" x14ac:dyDescent="0.2">
      <c r="A1" s="14" t="s">
        <v>103</v>
      </c>
      <c r="B1" s="14"/>
      <c r="C1" s="14"/>
      <c r="D1" s="14"/>
      <c r="E1" s="14"/>
      <c r="F1" s="14"/>
      <c r="G1" s="14"/>
      <c r="H1" s="14"/>
      <c r="I1" s="14"/>
      <c r="J1" s="14"/>
    </row>
    <row r="2" spans="1:10" ht="6" customHeight="1" x14ac:dyDescent="0.2"/>
    <row r="3" spans="1:10" ht="30" customHeight="1" x14ac:dyDescent="0.2">
      <c r="A3" s="47" t="s">
        <v>104</v>
      </c>
      <c r="B3" s="47" t="s">
        <v>105</v>
      </c>
      <c r="C3" s="47" t="s">
        <v>106</v>
      </c>
      <c r="D3" s="47" t="s">
        <v>107</v>
      </c>
      <c r="E3" s="47" t="s">
        <v>21</v>
      </c>
      <c r="F3" s="47" t="s">
        <v>15</v>
      </c>
      <c r="G3" s="47" t="s">
        <v>108</v>
      </c>
      <c r="H3" s="47" t="s">
        <v>109</v>
      </c>
      <c r="I3" s="47" t="s">
        <v>110</v>
      </c>
      <c r="J3" s="47" t="s">
        <v>100</v>
      </c>
    </row>
    <row r="4" spans="1:10" ht="18" customHeight="1" x14ac:dyDescent="0.2">
      <c r="A4" s="38" t="s">
        <v>111</v>
      </c>
      <c r="B4" s="48" t="s">
        <v>112</v>
      </c>
      <c r="C4" s="49" t="s">
        <v>24</v>
      </c>
      <c r="D4" s="50" t="s">
        <v>21</v>
      </c>
      <c r="E4" s="51" t="s">
        <v>24</v>
      </c>
      <c r="F4" s="52" t="s">
        <v>23</v>
      </c>
      <c r="G4" s="53" t="s">
        <v>113</v>
      </c>
      <c r="H4" s="54" t="s">
        <v>114</v>
      </c>
      <c r="I4" s="55"/>
      <c r="J4" s="56"/>
    </row>
    <row r="5" spans="1:10" ht="18" customHeight="1" x14ac:dyDescent="0.2">
      <c r="A5" s="57" t="s">
        <v>115</v>
      </c>
      <c r="B5" s="48" t="s">
        <v>112</v>
      </c>
      <c r="C5" s="58" t="s">
        <v>116</v>
      </c>
      <c r="D5" s="59" t="s">
        <v>51</v>
      </c>
      <c r="E5" s="60" t="s">
        <v>24</v>
      </c>
      <c r="F5" s="61" t="s">
        <v>23</v>
      </c>
      <c r="G5" s="62" t="s">
        <v>113</v>
      </c>
      <c r="H5" s="63" t="s">
        <v>117</v>
      </c>
      <c r="I5" s="55"/>
      <c r="J5" s="64"/>
    </row>
    <row r="6" spans="1:10" ht="18" customHeight="1" x14ac:dyDescent="0.2">
      <c r="A6" s="38" t="s">
        <v>118</v>
      </c>
      <c r="B6" s="48" t="s">
        <v>112</v>
      </c>
      <c r="C6" s="49" t="s">
        <v>119</v>
      </c>
      <c r="D6" s="65" t="s">
        <v>51</v>
      </c>
      <c r="E6" s="51" t="s">
        <v>24</v>
      </c>
      <c r="F6" s="52" t="s">
        <v>23</v>
      </c>
      <c r="G6" s="53" t="s">
        <v>113</v>
      </c>
      <c r="H6" s="54" t="s">
        <v>120</v>
      </c>
      <c r="I6" s="55"/>
      <c r="J6" s="56"/>
    </row>
    <row r="7" spans="1:10" ht="18" customHeight="1" x14ac:dyDescent="0.2">
      <c r="A7" s="57" t="s">
        <v>121</v>
      </c>
      <c r="B7" s="48" t="s">
        <v>112</v>
      </c>
      <c r="C7" s="58" t="s">
        <v>122</v>
      </c>
      <c r="D7" s="59" t="s">
        <v>51</v>
      </c>
      <c r="E7" s="60" t="s">
        <v>24</v>
      </c>
      <c r="F7" s="61" t="s">
        <v>23</v>
      </c>
      <c r="G7" s="62" t="s">
        <v>113</v>
      </c>
      <c r="H7" s="63" t="s">
        <v>123</v>
      </c>
      <c r="I7" s="55"/>
      <c r="J7" s="64"/>
    </row>
    <row r="8" spans="1:10" ht="18" customHeight="1" x14ac:dyDescent="0.2">
      <c r="A8" s="38" t="s">
        <v>124</v>
      </c>
      <c r="B8" s="48" t="s">
        <v>112</v>
      </c>
      <c r="C8" s="49" t="s">
        <v>125</v>
      </c>
      <c r="D8" s="65" t="s">
        <v>51</v>
      </c>
      <c r="E8" s="51" t="s">
        <v>24</v>
      </c>
      <c r="F8" s="52" t="s">
        <v>23</v>
      </c>
      <c r="G8" s="53" t="s">
        <v>113</v>
      </c>
      <c r="H8" s="54" t="s">
        <v>126</v>
      </c>
      <c r="I8" s="55"/>
      <c r="J8" s="56"/>
    </row>
    <row r="9" spans="1:10" ht="18" customHeight="1" x14ac:dyDescent="0.2">
      <c r="A9" s="57" t="s">
        <v>127</v>
      </c>
      <c r="B9" s="48" t="s">
        <v>112</v>
      </c>
      <c r="C9" s="58" t="s">
        <v>128</v>
      </c>
      <c r="D9" s="59" t="s">
        <v>51</v>
      </c>
      <c r="E9" s="60" t="s">
        <v>24</v>
      </c>
      <c r="F9" s="61" t="s">
        <v>23</v>
      </c>
      <c r="G9" s="62" t="s">
        <v>113</v>
      </c>
      <c r="H9" s="63" t="s">
        <v>129</v>
      </c>
      <c r="I9" s="55"/>
      <c r="J9" s="64"/>
    </row>
    <row r="10" spans="1:10" ht="18" customHeight="1" x14ac:dyDescent="0.2">
      <c r="A10" s="38" t="s">
        <v>130</v>
      </c>
      <c r="B10" s="48" t="s">
        <v>112</v>
      </c>
      <c r="C10" s="49" t="s">
        <v>131</v>
      </c>
      <c r="D10" s="65" t="s">
        <v>51</v>
      </c>
      <c r="E10" s="51" t="s">
        <v>24</v>
      </c>
      <c r="F10" s="52" t="s">
        <v>23</v>
      </c>
      <c r="G10" s="53" t="s">
        <v>113</v>
      </c>
      <c r="H10" s="54" t="s">
        <v>132</v>
      </c>
      <c r="I10" s="55"/>
      <c r="J10" s="56"/>
    </row>
    <row r="11" spans="1:10" ht="18" customHeight="1" x14ac:dyDescent="0.2">
      <c r="A11" s="57" t="s">
        <v>133</v>
      </c>
      <c r="B11" s="48" t="s">
        <v>112</v>
      </c>
      <c r="C11" s="58" t="s">
        <v>134</v>
      </c>
      <c r="D11" s="59" t="s">
        <v>51</v>
      </c>
      <c r="E11" s="60" t="s">
        <v>24</v>
      </c>
      <c r="F11" s="61" t="s">
        <v>23</v>
      </c>
      <c r="G11" s="62" t="s">
        <v>113</v>
      </c>
      <c r="H11" s="63" t="s">
        <v>135</v>
      </c>
      <c r="I11" s="55"/>
      <c r="J11" s="64"/>
    </row>
    <row r="12" spans="1:10" ht="18" customHeight="1" x14ac:dyDescent="0.2">
      <c r="A12" s="38" t="s">
        <v>136</v>
      </c>
      <c r="B12" s="48" t="s">
        <v>112</v>
      </c>
      <c r="C12" s="49" t="s">
        <v>137</v>
      </c>
      <c r="D12" s="65" t="s">
        <v>51</v>
      </c>
      <c r="E12" s="51" t="s">
        <v>24</v>
      </c>
      <c r="F12" s="52" t="s">
        <v>23</v>
      </c>
      <c r="G12" s="53" t="s">
        <v>113</v>
      </c>
      <c r="H12" s="54" t="s">
        <v>138</v>
      </c>
      <c r="I12" s="55"/>
      <c r="J12" s="56"/>
    </row>
    <row r="13" spans="1:10" ht="18" customHeight="1" x14ac:dyDescent="0.2">
      <c r="A13" s="57" t="s">
        <v>139</v>
      </c>
      <c r="B13" s="48" t="s">
        <v>112</v>
      </c>
      <c r="C13" s="58" t="s">
        <v>26</v>
      </c>
      <c r="D13" s="66" t="s">
        <v>21</v>
      </c>
      <c r="E13" s="60" t="s">
        <v>26</v>
      </c>
      <c r="F13" s="61" t="s">
        <v>23</v>
      </c>
      <c r="G13" s="62" t="s">
        <v>113</v>
      </c>
      <c r="H13" s="63" t="s">
        <v>140</v>
      </c>
      <c r="I13" s="55"/>
      <c r="J13" s="64"/>
    </row>
    <row r="14" spans="1:10" ht="18" customHeight="1" x14ac:dyDescent="0.2">
      <c r="A14" s="38" t="s">
        <v>141</v>
      </c>
      <c r="B14" s="48" t="s">
        <v>112</v>
      </c>
      <c r="C14" s="49" t="s">
        <v>142</v>
      </c>
      <c r="D14" s="65" t="s">
        <v>51</v>
      </c>
      <c r="E14" s="51" t="s">
        <v>26</v>
      </c>
      <c r="F14" s="52" t="s">
        <v>23</v>
      </c>
      <c r="G14" s="53" t="s">
        <v>113</v>
      </c>
      <c r="H14" s="54" t="s">
        <v>143</v>
      </c>
      <c r="I14" s="55"/>
      <c r="J14" s="56"/>
    </row>
    <row r="15" spans="1:10" ht="18" customHeight="1" x14ac:dyDescent="0.2">
      <c r="A15" s="57" t="s">
        <v>144</v>
      </c>
      <c r="B15" s="48" t="s">
        <v>112</v>
      </c>
      <c r="C15" s="58" t="s">
        <v>145</v>
      </c>
      <c r="D15" s="59" t="s">
        <v>51</v>
      </c>
      <c r="E15" s="60" t="s">
        <v>26</v>
      </c>
      <c r="F15" s="61" t="s">
        <v>23</v>
      </c>
      <c r="G15" s="62" t="s">
        <v>113</v>
      </c>
      <c r="H15" s="63" t="s">
        <v>146</v>
      </c>
      <c r="I15" s="55"/>
      <c r="J15" s="64"/>
    </row>
    <row r="16" spans="1:10" ht="18" customHeight="1" x14ac:dyDescent="0.2">
      <c r="A16" s="38" t="s">
        <v>147</v>
      </c>
      <c r="B16" s="48" t="s">
        <v>112</v>
      </c>
      <c r="C16" s="49" t="s">
        <v>148</v>
      </c>
      <c r="D16" s="65" t="s">
        <v>51</v>
      </c>
      <c r="E16" s="51" t="s">
        <v>26</v>
      </c>
      <c r="F16" s="52" t="s">
        <v>23</v>
      </c>
      <c r="G16" s="53" t="s">
        <v>113</v>
      </c>
      <c r="H16" s="54" t="s">
        <v>149</v>
      </c>
      <c r="I16" s="55"/>
      <c r="J16" s="56"/>
    </row>
    <row r="17" spans="1:10" ht="18" customHeight="1" x14ac:dyDescent="0.2">
      <c r="A17" s="57" t="s">
        <v>150</v>
      </c>
      <c r="B17" s="48" t="s">
        <v>112</v>
      </c>
      <c r="C17" s="58" t="s">
        <v>151</v>
      </c>
      <c r="D17" s="59" t="s">
        <v>51</v>
      </c>
      <c r="E17" s="60" t="s">
        <v>26</v>
      </c>
      <c r="F17" s="61" t="s">
        <v>23</v>
      </c>
      <c r="G17" s="62" t="s">
        <v>113</v>
      </c>
      <c r="H17" s="63" t="s">
        <v>152</v>
      </c>
      <c r="I17" s="55"/>
      <c r="J17" s="64"/>
    </row>
    <row r="18" spans="1:10" ht="18" customHeight="1" x14ac:dyDescent="0.2">
      <c r="A18" s="38" t="s">
        <v>153</v>
      </c>
      <c r="B18" s="48" t="s">
        <v>112</v>
      </c>
      <c r="C18" s="49" t="s">
        <v>154</v>
      </c>
      <c r="D18" s="65" t="s">
        <v>51</v>
      </c>
      <c r="E18" s="51" t="s">
        <v>26</v>
      </c>
      <c r="F18" s="52" t="s">
        <v>23</v>
      </c>
      <c r="G18" s="53" t="s">
        <v>113</v>
      </c>
      <c r="H18" s="54" t="s">
        <v>155</v>
      </c>
      <c r="I18" s="55"/>
      <c r="J18" s="56" t="s">
        <v>156</v>
      </c>
    </row>
    <row r="19" spans="1:10" ht="18" customHeight="1" x14ac:dyDescent="0.2">
      <c r="A19" s="57" t="s">
        <v>157</v>
      </c>
      <c r="B19" s="48" t="s">
        <v>112</v>
      </c>
      <c r="C19" s="58" t="s">
        <v>158</v>
      </c>
      <c r="D19" s="59" t="s">
        <v>51</v>
      </c>
      <c r="E19" s="60" t="s">
        <v>26</v>
      </c>
      <c r="F19" s="61" t="s">
        <v>23</v>
      </c>
      <c r="G19" s="62" t="s">
        <v>113</v>
      </c>
      <c r="H19" s="63" t="s">
        <v>159</v>
      </c>
      <c r="I19" s="55"/>
      <c r="J19" s="64"/>
    </row>
    <row r="20" spans="1:10" ht="18" customHeight="1" x14ac:dyDescent="0.2">
      <c r="A20" s="38" t="s">
        <v>160</v>
      </c>
      <c r="B20" s="48" t="s">
        <v>112</v>
      </c>
      <c r="C20" s="49" t="s">
        <v>161</v>
      </c>
      <c r="D20" s="65" t="s">
        <v>51</v>
      </c>
      <c r="E20" s="51" t="s">
        <v>26</v>
      </c>
      <c r="F20" s="52" t="s">
        <v>23</v>
      </c>
      <c r="G20" s="53" t="s">
        <v>113</v>
      </c>
      <c r="H20" s="54" t="s">
        <v>162</v>
      </c>
      <c r="I20" s="55"/>
      <c r="J20" s="56"/>
    </row>
    <row r="21" spans="1:10" ht="18" customHeight="1" x14ac:dyDescent="0.2">
      <c r="A21" s="57" t="s">
        <v>163</v>
      </c>
      <c r="B21" s="48" t="s">
        <v>112</v>
      </c>
      <c r="C21" s="58" t="s">
        <v>164</v>
      </c>
      <c r="D21" s="59" t="s">
        <v>51</v>
      </c>
      <c r="E21" s="60" t="s">
        <v>26</v>
      </c>
      <c r="F21" s="61" t="s">
        <v>23</v>
      </c>
      <c r="G21" s="62" t="s">
        <v>113</v>
      </c>
      <c r="H21" s="63" t="s">
        <v>165</v>
      </c>
      <c r="I21" s="55"/>
      <c r="J21" s="64"/>
    </row>
    <row r="22" spans="1:10" ht="18" customHeight="1" x14ac:dyDescent="0.2">
      <c r="A22" s="38" t="s">
        <v>166</v>
      </c>
      <c r="B22" s="48" t="s">
        <v>112</v>
      </c>
      <c r="C22" s="49" t="s">
        <v>28</v>
      </c>
      <c r="D22" s="50" t="s">
        <v>21</v>
      </c>
      <c r="E22" s="51" t="s">
        <v>28</v>
      </c>
      <c r="F22" s="52" t="s">
        <v>23</v>
      </c>
      <c r="G22" s="53" t="s">
        <v>113</v>
      </c>
      <c r="H22" s="67"/>
      <c r="I22" s="55"/>
      <c r="J22" s="56" t="s">
        <v>167</v>
      </c>
    </row>
    <row r="23" spans="1:10" ht="18" customHeight="1" x14ac:dyDescent="0.2">
      <c r="A23" s="41" t="s">
        <v>168</v>
      </c>
      <c r="B23" s="48" t="s">
        <v>112</v>
      </c>
      <c r="C23" s="68" t="s">
        <v>30</v>
      </c>
      <c r="D23" s="69" t="s">
        <v>21</v>
      </c>
      <c r="E23" s="70" t="s">
        <v>30</v>
      </c>
      <c r="F23" s="71" t="s">
        <v>25</v>
      </c>
      <c r="G23" s="72" t="s">
        <v>113</v>
      </c>
      <c r="H23" s="73" t="s">
        <v>169</v>
      </c>
      <c r="I23" s="55"/>
      <c r="J23" s="74" t="s">
        <v>170</v>
      </c>
    </row>
    <row r="24" spans="1:10" ht="18" customHeight="1" x14ac:dyDescent="0.2">
      <c r="A24" s="38" t="s">
        <v>171</v>
      </c>
      <c r="B24" s="48" t="s">
        <v>112</v>
      </c>
      <c r="C24" s="49" t="s">
        <v>172</v>
      </c>
      <c r="D24" s="65" t="s">
        <v>51</v>
      </c>
      <c r="E24" s="51" t="s">
        <v>30</v>
      </c>
      <c r="F24" s="52" t="s">
        <v>25</v>
      </c>
      <c r="G24" s="53" t="s">
        <v>113</v>
      </c>
      <c r="H24" s="54" t="s">
        <v>173</v>
      </c>
      <c r="I24" s="55"/>
      <c r="J24" s="56"/>
    </row>
    <row r="25" spans="1:10" ht="18" customHeight="1" x14ac:dyDescent="0.2">
      <c r="A25" s="57" t="s">
        <v>174</v>
      </c>
      <c r="B25" s="48" t="s">
        <v>112</v>
      </c>
      <c r="C25" s="58" t="s">
        <v>175</v>
      </c>
      <c r="D25" s="59" t="s">
        <v>51</v>
      </c>
      <c r="E25" s="60" t="s">
        <v>30</v>
      </c>
      <c r="F25" s="61" t="s">
        <v>25</v>
      </c>
      <c r="G25" s="62" t="s">
        <v>113</v>
      </c>
      <c r="H25" s="63" t="s">
        <v>176</v>
      </c>
      <c r="I25" s="55"/>
      <c r="J25" s="64"/>
    </row>
    <row r="26" spans="1:10" ht="18" customHeight="1" x14ac:dyDescent="0.2">
      <c r="A26" s="38" t="s">
        <v>177</v>
      </c>
      <c r="B26" s="48" t="s">
        <v>112</v>
      </c>
      <c r="C26" s="49" t="s">
        <v>178</v>
      </c>
      <c r="D26" s="65" t="s">
        <v>51</v>
      </c>
      <c r="E26" s="51" t="s">
        <v>30</v>
      </c>
      <c r="F26" s="52" t="s">
        <v>25</v>
      </c>
      <c r="G26" s="75" t="s">
        <v>179</v>
      </c>
      <c r="H26" s="67"/>
      <c r="I26" s="55"/>
      <c r="J26" s="56"/>
    </row>
    <row r="27" spans="1:10" ht="18" customHeight="1" x14ac:dyDescent="0.2">
      <c r="A27" s="57" t="s">
        <v>180</v>
      </c>
      <c r="B27" s="48" t="s">
        <v>112</v>
      </c>
      <c r="C27" s="58" t="s">
        <v>181</v>
      </c>
      <c r="D27" s="59" t="s">
        <v>51</v>
      </c>
      <c r="E27" s="60" t="s">
        <v>30</v>
      </c>
      <c r="F27" s="61" t="s">
        <v>25</v>
      </c>
      <c r="G27" s="62" t="s">
        <v>113</v>
      </c>
      <c r="H27" s="63" t="s">
        <v>182</v>
      </c>
      <c r="I27" s="55"/>
      <c r="J27" s="64"/>
    </row>
    <row r="28" spans="1:10" ht="18" customHeight="1" x14ac:dyDescent="0.2">
      <c r="A28" s="41" t="s">
        <v>183</v>
      </c>
      <c r="B28" s="48" t="s">
        <v>112</v>
      </c>
      <c r="C28" s="68" t="s">
        <v>184</v>
      </c>
      <c r="D28" s="76" t="s">
        <v>51</v>
      </c>
      <c r="E28" s="70" t="s">
        <v>30</v>
      </c>
      <c r="F28" s="71" t="s">
        <v>25</v>
      </c>
      <c r="G28" s="72" t="s">
        <v>113</v>
      </c>
      <c r="H28" s="73" t="s">
        <v>169</v>
      </c>
      <c r="I28" s="55"/>
      <c r="J28" s="74" t="s">
        <v>185</v>
      </c>
    </row>
    <row r="29" spans="1:10" ht="18" customHeight="1" x14ac:dyDescent="0.2">
      <c r="A29" s="57" t="s">
        <v>186</v>
      </c>
      <c r="B29" s="48" t="s">
        <v>112</v>
      </c>
      <c r="C29" s="58" t="s">
        <v>187</v>
      </c>
      <c r="D29" s="59" t="s">
        <v>51</v>
      </c>
      <c r="E29" s="60" t="s">
        <v>30</v>
      </c>
      <c r="F29" s="61" t="s">
        <v>25</v>
      </c>
      <c r="G29" s="62" t="s">
        <v>113</v>
      </c>
      <c r="H29" s="63" t="s">
        <v>188</v>
      </c>
      <c r="I29" s="55"/>
      <c r="J29" s="64"/>
    </row>
    <row r="30" spans="1:10" ht="18" customHeight="1" x14ac:dyDescent="0.2">
      <c r="A30" s="38" t="s">
        <v>189</v>
      </c>
      <c r="B30" s="48" t="s">
        <v>112</v>
      </c>
      <c r="C30" s="49" t="s">
        <v>190</v>
      </c>
      <c r="D30" s="65" t="s">
        <v>51</v>
      </c>
      <c r="E30" s="51" t="s">
        <v>30</v>
      </c>
      <c r="F30" s="52" t="s">
        <v>25</v>
      </c>
      <c r="G30" s="53" t="s">
        <v>113</v>
      </c>
      <c r="H30" s="54" t="s">
        <v>191</v>
      </c>
      <c r="I30" s="55"/>
      <c r="J30" s="56"/>
    </row>
    <row r="31" spans="1:10" ht="18" customHeight="1" x14ac:dyDescent="0.2">
      <c r="A31" s="57" t="s">
        <v>192</v>
      </c>
      <c r="B31" s="48" t="s">
        <v>112</v>
      </c>
      <c r="C31" s="58" t="s">
        <v>193</v>
      </c>
      <c r="D31" s="59" t="s">
        <v>51</v>
      </c>
      <c r="E31" s="60" t="s">
        <v>30</v>
      </c>
      <c r="F31" s="61" t="s">
        <v>25</v>
      </c>
      <c r="G31" s="62" t="s">
        <v>113</v>
      </c>
      <c r="H31" s="63" t="s">
        <v>194</v>
      </c>
      <c r="I31" s="55"/>
      <c r="J31" s="64"/>
    </row>
    <row r="32" spans="1:10" ht="18" customHeight="1" x14ac:dyDescent="0.2">
      <c r="A32" s="38" t="s">
        <v>195</v>
      </c>
      <c r="B32" s="48" t="s">
        <v>112</v>
      </c>
      <c r="C32" s="49" t="s">
        <v>32</v>
      </c>
      <c r="D32" s="50" t="s">
        <v>21</v>
      </c>
      <c r="E32" s="51" t="s">
        <v>32</v>
      </c>
      <c r="F32" s="52" t="s">
        <v>25</v>
      </c>
      <c r="G32" s="53" t="s">
        <v>113</v>
      </c>
      <c r="H32" s="54" t="s">
        <v>196</v>
      </c>
      <c r="I32" s="55"/>
      <c r="J32" s="56" t="s">
        <v>197</v>
      </c>
    </row>
    <row r="33" spans="1:10" ht="18" customHeight="1" x14ac:dyDescent="0.2">
      <c r="A33" s="57" t="s">
        <v>198</v>
      </c>
      <c r="B33" s="48" t="s">
        <v>112</v>
      </c>
      <c r="C33" s="58" t="s">
        <v>199</v>
      </c>
      <c r="D33" s="59" t="s">
        <v>51</v>
      </c>
      <c r="E33" s="60" t="s">
        <v>32</v>
      </c>
      <c r="F33" s="61" t="s">
        <v>25</v>
      </c>
      <c r="G33" s="77" t="s">
        <v>179</v>
      </c>
      <c r="H33" s="78"/>
      <c r="I33" s="55"/>
      <c r="J33" s="64"/>
    </row>
    <row r="34" spans="1:10" ht="18" customHeight="1" x14ac:dyDescent="0.2">
      <c r="A34" s="38" t="s">
        <v>200</v>
      </c>
      <c r="B34" s="48" t="s">
        <v>112</v>
      </c>
      <c r="C34" s="49" t="s">
        <v>201</v>
      </c>
      <c r="D34" s="65" t="s">
        <v>51</v>
      </c>
      <c r="E34" s="51" t="s">
        <v>32</v>
      </c>
      <c r="F34" s="52" t="s">
        <v>25</v>
      </c>
      <c r="G34" s="53" t="s">
        <v>113</v>
      </c>
      <c r="H34" s="54" t="s">
        <v>202</v>
      </c>
      <c r="I34" s="55"/>
      <c r="J34" s="56"/>
    </row>
    <row r="35" spans="1:10" ht="18" customHeight="1" x14ac:dyDescent="0.2">
      <c r="A35" s="57" t="s">
        <v>203</v>
      </c>
      <c r="B35" s="48" t="s">
        <v>112</v>
      </c>
      <c r="C35" s="58" t="s">
        <v>204</v>
      </c>
      <c r="D35" s="59" t="s">
        <v>51</v>
      </c>
      <c r="E35" s="60" t="s">
        <v>32</v>
      </c>
      <c r="F35" s="61" t="s">
        <v>25</v>
      </c>
      <c r="G35" s="77" t="s">
        <v>179</v>
      </c>
      <c r="H35" s="78"/>
      <c r="I35" s="55"/>
      <c r="J35" s="64"/>
    </row>
    <row r="36" spans="1:10" ht="18" customHeight="1" x14ac:dyDescent="0.2">
      <c r="A36" s="38" t="s">
        <v>205</v>
      </c>
      <c r="B36" s="48" t="s">
        <v>112</v>
      </c>
      <c r="C36" s="49" t="s">
        <v>206</v>
      </c>
      <c r="D36" s="65" t="s">
        <v>51</v>
      </c>
      <c r="E36" s="51" t="s">
        <v>32</v>
      </c>
      <c r="F36" s="52" t="s">
        <v>25</v>
      </c>
      <c r="G36" s="75" t="s">
        <v>179</v>
      </c>
      <c r="H36" s="67"/>
      <c r="I36" s="55"/>
      <c r="J36" s="56"/>
    </row>
    <row r="37" spans="1:10" ht="18" customHeight="1" x14ac:dyDescent="0.2">
      <c r="A37" s="57" t="s">
        <v>207</v>
      </c>
      <c r="B37" s="48" t="s">
        <v>112</v>
      </c>
      <c r="C37" s="58" t="s">
        <v>208</v>
      </c>
      <c r="D37" s="59" t="s">
        <v>51</v>
      </c>
      <c r="E37" s="60" t="s">
        <v>32</v>
      </c>
      <c r="F37" s="61" t="s">
        <v>25</v>
      </c>
      <c r="G37" s="77" t="s">
        <v>179</v>
      </c>
      <c r="H37" s="78"/>
      <c r="I37" s="55"/>
      <c r="J37" s="64"/>
    </row>
    <row r="38" spans="1:10" ht="18" customHeight="1" x14ac:dyDescent="0.2">
      <c r="A38" s="38" t="s">
        <v>209</v>
      </c>
      <c r="B38" s="48" t="s">
        <v>112</v>
      </c>
      <c r="C38" s="49" t="s">
        <v>210</v>
      </c>
      <c r="D38" s="65" t="s">
        <v>51</v>
      </c>
      <c r="E38" s="51" t="s">
        <v>32</v>
      </c>
      <c r="F38" s="52" t="s">
        <v>25</v>
      </c>
      <c r="G38" s="53" t="s">
        <v>113</v>
      </c>
      <c r="H38" s="54" t="s">
        <v>211</v>
      </c>
      <c r="I38" s="55"/>
      <c r="J38" s="56"/>
    </row>
    <row r="39" spans="1:10" ht="18" customHeight="1" x14ac:dyDescent="0.2">
      <c r="A39" s="57" t="s">
        <v>212</v>
      </c>
      <c r="B39" s="48" t="s">
        <v>112</v>
      </c>
      <c r="C39" s="58" t="s">
        <v>213</v>
      </c>
      <c r="D39" s="59" t="s">
        <v>51</v>
      </c>
      <c r="E39" s="60" t="s">
        <v>32</v>
      </c>
      <c r="F39" s="61" t="s">
        <v>25</v>
      </c>
      <c r="G39" s="77" t="s">
        <v>179</v>
      </c>
      <c r="H39" s="78"/>
      <c r="I39" s="55"/>
      <c r="J39" s="64"/>
    </row>
    <row r="40" spans="1:10" ht="18" customHeight="1" x14ac:dyDescent="0.2">
      <c r="A40" s="38" t="s">
        <v>214</v>
      </c>
      <c r="B40" s="48" t="s">
        <v>112</v>
      </c>
      <c r="C40" s="49" t="s">
        <v>215</v>
      </c>
      <c r="D40" s="65" t="s">
        <v>51</v>
      </c>
      <c r="E40" s="51" t="s">
        <v>32</v>
      </c>
      <c r="F40" s="52" t="s">
        <v>25</v>
      </c>
      <c r="G40" s="75" t="s">
        <v>179</v>
      </c>
      <c r="H40" s="67"/>
      <c r="I40" s="55"/>
      <c r="J40" s="56"/>
    </row>
    <row r="41" spans="1:10" ht="18" customHeight="1" x14ac:dyDescent="0.2">
      <c r="A41" s="57" t="s">
        <v>216</v>
      </c>
      <c r="B41" s="48" t="s">
        <v>112</v>
      </c>
      <c r="C41" s="58" t="s">
        <v>217</v>
      </c>
      <c r="D41" s="59" t="s">
        <v>51</v>
      </c>
      <c r="E41" s="60" t="s">
        <v>32</v>
      </c>
      <c r="F41" s="61" t="s">
        <v>25</v>
      </c>
      <c r="G41" s="77" t="s">
        <v>179</v>
      </c>
      <c r="H41" s="78"/>
      <c r="I41" s="55"/>
      <c r="J41" s="64"/>
    </row>
    <row r="42" spans="1:10" ht="18" customHeight="1" x14ac:dyDescent="0.2">
      <c r="A42" s="38" t="s">
        <v>218</v>
      </c>
      <c r="B42" s="48" t="s">
        <v>112</v>
      </c>
      <c r="C42" s="49" t="s">
        <v>219</v>
      </c>
      <c r="D42" s="65" t="s">
        <v>51</v>
      </c>
      <c r="E42" s="51" t="s">
        <v>32</v>
      </c>
      <c r="F42" s="52" t="s">
        <v>25</v>
      </c>
      <c r="G42" s="75" t="s">
        <v>179</v>
      </c>
      <c r="H42" s="67"/>
      <c r="I42" s="55"/>
      <c r="J42" s="56"/>
    </row>
    <row r="43" spans="1:10" ht="18" customHeight="1" x14ac:dyDescent="0.2">
      <c r="A43" s="57" t="s">
        <v>220</v>
      </c>
      <c r="B43" s="48" t="s">
        <v>112</v>
      </c>
      <c r="C43" s="58" t="s">
        <v>221</v>
      </c>
      <c r="D43" s="59" t="s">
        <v>51</v>
      </c>
      <c r="E43" s="60" t="s">
        <v>32</v>
      </c>
      <c r="F43" s="61" t="s">
        <v>25</v>
      </c>
      <c r="G43" s="77" t="s">
        <v>179</v>
      </c>
      <c r="H43" s="78"/>
      <c r="I43" s="55"/>
      <c r="J43" s="64"/>
    </row>
    <row r="44" spans="1:10" ht="18" customHeight="1" x14ac:dyDescent="0.2">
      <c r="A44" s="38" t="s">
        <v>222</v>
      </c>
      <c r="B44" s="48" t="s">
        <v>112</v>
      </c>
      <c r="C44" s="49" t="s">
        <v>223</v>
      </c>
      <c r="D44" s="65" t="s">
        <v>51</v>
      </c>
      <c r="E44" s="51" t="s">
        <v>32</v>
      </c>
      <c r="F44" s="52" t="s">
        <v>25</v>
      </c>
      <c r="G44" s="75" t="s">
        <v>179</v>
      </c>
      <c r="H44" s="67"/>
      <c r="I44" s="55"/>
      <c r="J44" s="56"/>
    </row>
    <row r="45" spans="1:10" ht="18" customHeight="1" x14ac:dyDescent="0.2">
      <c r="A45" s="57" t="s">
        <v>224</v>
      </c>
      <c r="B45" s="48" t="s">
        <v>112</v>
      </c>
      <c r="C45" s="58" t="s">
        <v>225</v>
      </c>
      <c r="D45" s="59" t="s">
        <v>51</v>
      </c>
      <c r="E45" s="60" t="s">
        <v>32</v>
      </c>
      <c r="F45" s="61" t="s">
        <v>25</v>
      </c>
      <c r="G45" s="77" t="s">
        <v>179</v>
      </c>
      <c r="H45" s="78"/>
      <c r="I45" s="55"/>
      <c r="J45" s="64"/>
    </row>
    <row r="46" spans="1:10" ht="18" customHeight="1" x14ac:dyDescent="0.2">
      <c r="A46" s="38" t="s">
        <v>226</v>
      </c>
      <c r="B46" s="48" t="s">
        <v>112</v>
      </c>
      <c r="C46" s="49" t="s">
        <v>227</v>
      </c>
      <c r="D46" s="65" t="s">
        <v>51</v>
      </c>
      <c r="E46" s="51" t="s">
        <v>32</v>
      </c>
      <c r="F46" s="52" t="s">
        <v>25</v>
      </c>
      <c r="G46" s="75" t="s">
        <v>179</v>
      </c>
      <c r="H46" s="67"/>
      <c r="I46" s="55"/>
      <c r="J46" s="56"/>
    </row>
    <row r="47" spans="1:10" ht="18" customHeight="1" x14ac:dyDescent="0.2">
      <c r="A47" s="57" t="s">
        <v>228</v>
      </c>
      <c r="B47" s="48" t="s">
        <v>112</v>
      </c>
      <c r="C47" s="58" t="s">
        <v>229</v>
      </c>
      <c r="D47" s="59" t="s">
        <v>51</v>
      </c>
      <c r="E47" s="60" t="s">
        <v>32</v>
      </c>
      <c r="F47" s="61" t="s">
        <v>25</v>
      </c>
      <c r="G47" s="62" t="s">
        <v>113</v>
      </c>
      <c r="H47" s="63" t="s">
        <v>230</v>
      </c>
      <c r="I47" s="55"/>
      <c r="J47" s="64"/>
    </row>
    <row r="48" spans="1:10" ht="18" customHeight="1" x14ac:dyDescent="0.2">
      <c r="A48" s="41" t="s">
        <v>231</v>
      </c>
      <c r="B48" s="48" t="s">
        <v>112</v>
      </c>
      <c r="C48" s="68" t="s">
        <v>232</v>
      </c>
      <c r="D48" s="76" t="s">
        <v>51</v>
      </c>
      <c r="E48" s="70" t="s">
        <v>32</v>
      </c>
      <c r="F48" s="71" t="s">
        <v>25</v>
      </c>
      <c r="G48" s="72" t="s">
        <v>113</v>
      </c>
      <c r="H48" s="73" t="s">
        <v>233</v>
      </c>
      <c r="I48" s="55"/>
      <c r="J48" s="74" t="s">
        <v>234</v>
      </c>
    </row>
    <row r="49" spans="1:10" ht="18" customHeight="1" x14ac:dyDescent="0.2">
      <c r="A49" s="57" t="s">
        <v>235</v>
      </c>
      <c r="B49" s="48" t="s">
        <v>112</v>
      </c>
      <c r="C49" s="58" t="s">
        <v>34</v>
      </c>
      <c r="D49" s="66" t="s">
        <v>21</v>
      </c>
      <c r="E49" s="60" t="s">
        <v>34</v>
      </c>
      <c r="F49" s="61" t="s">
        <v>25</v>
      </c>
      <c r="G49" s="62" t="s">
        <v>113</v>
      </c>
      <c r="H49" s="63" t="s">
        <v>236</v>
      </c>
      <c r="I49" s="55"/>
      <c r="J49" s="64"/>
    </row>
    <row r="50" spans="1:10" ht="18" customHeight="1" x14ac:dyDescent="0.2">
      <c r="A50" s="38" t="s">
        <v>237</v>
      </c>
      <c r="B50" s="48" t="s">
        <v>112</v>
      </c>
      <c r="C50" s="49" t="s">
        <v>55</v>
      </c>
      <c r="D50" s="65" t="s">
        <v>51</v>
      </c>
      <c r="E50" s="51" t="s">
        <v>34</v>
      </c>
      <c r="F50" s="52" t="s">
        <v>25</v>
      </c>
      <c r="G50" s="53" t="s">
        <v>113</v>
      </c>
      <c r="H50" s="54" t="s">
        <v>54</v>
      </c>
      <c r="I50" s="55"/>
      <c r="J50" s="56"/>
    </row>
    <row r="51" spans="1:10" ht="18" customHeight="1" x14ac:dyDescent="0.2">
      <c r="A51" s="57" t="s">
        <v>238</v>
      </c>
      <c r="B51" s="48" t="s">
        <v>112</v>
      </c>
      <c r="C51" s="58" t="s">
        <v>239</v>
      </c>
      <c r="D51" s="59" t="s">
        <v>51</v>
      </c>
      <c r="E51" s="60" t="s">
        <v>34</v>
      </c>
      <c r="F51" s="61" t="s">
        <v>25</v>
      </c>
      <c r="G51" s="62" t="s">
        <v>113</v>
      </c>
      <c r="H51" s="63" t="s">
        <v>240</v>
      </c>
      <c r="I51" s="55"/>
      <c r="J51" s="64"/>
    </row>
    <row r="52" spans="1:10" ht="18" customHeight="1" x14ac:dyDescent="0.2">
      <c r="A52" s="38" t="s">
        <v>241</v>
      </c>
      <c r="B52" s="48" t="s">
        <v>112</v>
      </c>
      <c r="C52" s="49" t="s">
        <v>242</v>
      </c>
      <c r="D52" s="65" t="s">
        <v>51</v>
      </c>
      <c r="E52" s="51" t="s">
        <v>34</v>
      </c>
      <c r="F52" s="52" t="s">
        <v>25</v>
      </c>
      <c r="G52" s="53" t="s">
        <v>113</v>
      </c>
      <c r="H52" s="54" t="s">
        <v>243</v>
      </c>
      <c r="I52" s="55"/>
      <c r="J52" s="56"/>
    </row>
    <row r="53" spans="1:10" ht="18" customHeight="1" x14ac:dyDescent="0.2">
      <c r="A53" s="57" t="s">
        <v>244</v>
      </c>
      <c r="B53" s="48" t="s">
        <v>112</v>
      </c>
      <c r="C53" s="58" t="s">
        <v>245</v>
      </c>
      <c r="D53" s="59" t="s">
        <v>51</v>
      </c>
      <c r="E53" s="60" t="s">
        <v>34</v>
      </c>
      <c r="F53" s="61" t="s">
        <v>25</v>
      </c>
      <c r="G53" s="62" t="s">
        <v>113</v>
      </c>
      <c r="H53" s="63" t="s">
        <v>246</v>
      </c>
      <c r="I53" s="55"/>
      <c r="J53" s="64"/>
    </row>
    <row r="54" spans="1:10" ht="18" customHeight="1" x14ac:dyDescent="0.2">
      <c r="A54" s="38" t="s">
        <v>247</v>
      </c>
      <c r="B54" s="48" t="s">
        <v>112</v>
      </c>
      <c r="C54" s="49" t="s">
        <v>248</v>
      </c>
      <c r="D54" s="65" t="s">
        <v>51</v>
      </c>
      <c r="E54" s="51" t="s">
        <v>34</v>
      </c>
      <c r="F54" s="52" t="s">
        <v>25</v>
      </c>
      <c r="G54" s="75" t="s">
        <v>179</v>
      </c>
      <c r="H54" s="67"/>
      <c r="I54" s="55"/>
      <c r="J54" s="56"/>
    </row>
    <row r="55" spans="1:10" ht="18" customHeight="1" x14ac:dyDescent="0.2">
      <c r="A55" s="57" t="s">
        <v>249</v>
      </c>
      <c r="B55" s="48" t="s">
        <v>112</v>
      </c>
      <c r="C55" s="58" t="s">
        <v>250</v>
      </c>
      <c r="D55" s="59" t="s">
        <v>51</v>
      </c>
      <c r="E55" s="60" t="s">
        <v>34</v>
      </c>
      <c r="F55" s="61" t="s">
        <v>25</v>
      </c>
      <c r="G55" s="62" t="s">
        <v>113</v>
      </c>
      <c r="H55" s="63" t="s">
        <v>251</v>
      </c>
      <c r="I55" s="55"/>
      <c r="J55" s="64"/>
    </row>
    <row r="56" spans="1:10" ht="18" customHeight="1" x14ac:dyDescent="0.2">
      <c r="A56" s="38" t="s">
        <v>252</v>
      </c>
      <c r="B56" s="48" t="s">
        <v>112</v>
      </c>
      <c r="C56" s="49" t="s">
        <v>253</v>
      </c>
      <c r="D56" s="65" t="s">
        <v>51</v>
      </c>
      <c r="E56" s="51" t="s">
        <v>34</v>
      </c>
      <c r="F56" s="52" t="s">
        <v>25</v>
      </c>
      <c r="G56" s="53" t="s">
        <v>113</v>
      </c>
      <c r="H56" s="54" t="s">
        <v>254</v>
      </c>
      <c r="I56" s="55"/>
      <c r="J56" s="56"/>
    </row>
    <row r="57" spans="1:10" ht="18" customHeight="1" x14ac:dyDescent="0.2">
      <c r="A57" s="57" t="s">
        <v>255</v>
      </c>
      <c r="B57" s="48" t="s">
        <v>112</v>
      </c>
      <c r="C57" s="58" t="s">
        <v>36</v>
      </c>
      <c r="D57" s="66" t="s">
        <v>21</v>
      </c>
      <c r="E57" s="60" t="s">
        <v>36</v>
      </c>
      <c r="F57" s="61" t="s">
        <v>25</v>
      </c>
      <c r="G57" s="62" t="s">
        <v>113</v>
      </c>
      <c r="H57" s="78"/>
      <c r="I57" s="55"/>
      <c r="J57" s="64"/>
    </row>
    <row r="58" spans="1:10" ht="18" customHeight="1" x14ac:dyDescent="0.2">
      <c r="A58" s="38" t="s">
        <v>256</v>
      </c>
      <c r="B58" s="48" t="s">
        <v>112</v>
      </c>
      <c r="C58" s="49" t="s">
        <v>257</v>
      </c>
      <c r="D58" s="65" t="s">
        <v>51</v>
      </c>
      <c r="E58" s="51" t="s">
        <v>36</v>
      </c>
      <c r="F58" s="52" t="s">
        <v>25</v>
      </c>
      <c r="G58" s="75" t="s">
        <v>179</v>
      </c>
      <c r="H58" s="67"/>
      <c r="I58" s="55"/>
      <c r="J58" s="56"/>
    </row>
    <row r="59" spans="1:10" ht="18" customHeight="1" x14ac:dyDescent="0.2">
      <c r="A59" s="57" t="s">
        <v>258</v>
      </c>
      <c r="B59" s="48" t="s">
        <v>112</v>
      </c>
      <c r="C59" s="58" t="s">
        <v>259</v>
      </c>
      <c r="D59" s="59" t="s">
        <v>51</v>
      </c>
      <c r="E59" s="60" t="s">
        <v>36</v>
      </c>
      <c r="F59" s="61" t="s">
        <v>25</v>
      </c>
      <c r="G59" s="77" t="s">
        <v>179</v>
      </c>
      <c r="H59" s="78"/>
      <c r="I59" s="55"/>
      <c r="J59" s="64"/>
    </row>
    <row r="60" spans="1:10" ht="18" customHeight="1" x14ac:dyDescent="0.2">
      <c r="A60" s="38" t="s">
        <v>260</v>
      </c>
      <c r="B60" s="48" t="s">
        <v>112</v>
      </c>
      <c r="C60" s="49" t="s">
        <v>261</v>
      </c>
      <c r="D60" s="65" t="s">
        <v>51</v>
      </c>
      <c r="E60" s="51" t="s">
        <v>36</v>
      </c>
      <c r="F60" s="52" t="s">
        <v>25</v>
      </c>
      <c r="G60" s="75" t="s">
        <v>179</v>
      </c>
      <c r="H60" s="67"/>
      <c r="I60" s="55"/>
      <c r="J60" s="56"/>
    </row>
    <row r="61" spans="1:10" ht="18" customHeight="1" x14ac:dyDescent="0.2">
      <c r="A61" s="57" t="s">
        <v>262</v>
      </c>
      <c r="B61" s="48" t="s">
        <v>112</v>
      </c>
      <c r="C61" s="58" t="s">
        <v>263</v>
      </c>
      <c r="D61" s="59" t="s">
        <v>51</v>
      </c>
      <c r="E61" s="60" t="s">
        <v>36</v>
      </c>
      <c r="F61" s="61" t="s">
        <v>25</v>
      </c>
      <c r="G61" s="77" t="s">
        <v>179</v>
      </c>
      <c r="H61" s="78"/>
      <c r="I61" s="55"/>
      <c r="J61" s="64"/>
    </row>
    <row r="62" spans="1:10" ht="18" customHeight="1" x14ac:dyDescent="0.2">
      <c r="A62" s="41" t="s">
        <v>264</v>
      </c>
      <c r="B62" s="48" t="s">
        <v>112</v>
      </c>
      <c r="C62" s="68" t="s">
        <v>265</v>
      </c>
      <c r="D62" s="76" t="s">
        <v>51</v>
      </c>
      <c r="E62" s="70" t="s">
        <v>36</v>
      </c>
      <c r="F62" s="71" t="s">
        <v>25</v>
      </c>
      <c r="G62" s="72" t="s">
        <v>113</v>
      </c>
      <c r="H62" s="73" t="s">
        <v>233</v>
      </c>
      <c r="I62" s="55"/>
      <c r="J62" s="74" t="s">
        <v>266</v>
      </c>
    </row>
    <row r="63" spans="1:10" ht="18" customHeight="1" x14ac:dyDescent="0.2">
      <c r="A63" s="57" t="s">
        <v>267</v>
      </c>
      <c r="B63" s="48" t="s">
        <v>112</v>
      </c>
      <c r="C63" s="58" t="s">
        <v>37</v>
      </c>
      <c r="D63" s="66" t="s">
        <v>21</v>
      </c>
      <c r="E63" s="60" t="s">
        <v>37</v>
      </c>
      <c r="F63" s="61" t="s">
        <v>25</v>
      </c>
      <c r="G63" s="62" t="s">
        <v>113</v>
      </c>
      <c r="H63" s="63" t="s">
        <v>57</v>
      </c>
      <c r="I63" s="55"/>
      <c r="J63" s="64"/>
    </row>
    <row r="64" spans="1:10" ht="18" customHeight="1" x14ac:dyDescent="0.2">
      <c r="A64" s="38" t="s">
        <v>268</v>
      </c>
      <c r="B64" s="48" t="s">
        <v>112</v>
      </c>
      <c r="C64" s="49" t="s">
        <v>269</v>
      </c>
      <c r="D64" s="65" t="s">
        <v>51</v>
      </c>
      <c r="E64" s="51" t="s">
        <v>37</v>
      </c>
      <c r="F64" s="52" t="s">
        <v>25</v>
      </c>
      <c r="G64" s="53" t="s">
        <v>113</v>
      </c>
      <c r="H64" s="54" t="s">
        <v>270</v>
      </c>
      <c r="I64" s="55"/>
      <c r="J64" s="56"/>
    </row>
    <row r="65" spans="1:10" ht="18" customHeight="1" x14ac:dyDescent="0.2">
      <c r="A65" s="57" t="s">
        <v>271</v>
      </c>
      <c r="B65" s="48" t="s">
        <v>112</v>
      </c>
      <c r="C65" s="58" t="s">
        <v>272</v>
      </c>
      <c r="D65" s="59" t="s">
        <v>51</v>
      </c>
      <c r="E65" s="60" t="s">
        <v>37</v>
      </c>
      <c r="F65" s="61" t="s">
        <v>25</v>
      </c>
      <c r="G65" s="77" t="s">
        <v>179</v>
      </c>
      <c r="H65" s="78"/>
      <c r="I65" s="55"/>
      <c r="J65" s="64"/>
    </row>
    <row r="66" spans="1:10" ht="18" customHeight="1" x14ac:dyDescent="0.2">
      <c r="A66" s="38" t="s">
        <v>273</v>
      </c>
      <c r="B66" s="48" t="s">
        <v>112</v>
      </c>
      <c r="C66" s="49" t="s">
        <v>274</v>
      </c>
      <c r="D66" s="65" t="s">
        <v>51</v>
      </c>
      <c r="E66" s="51" t="s">
        <v>37</v>
      </c>
      <c r="F66" s="52" t="s">
        <v>25</v>
      </c>
      <c r="G66" s="75" t="s">
        <v>179</v>
      </c>
      <c r="H66" s="67"/>
      <c r="I66" s="55"/>
      <c r="J66" s="56"/>
    </row>
    <row r="67" spans="1:10" ht="18" customHeight="1" x14ac:dyDescent="0.2">
      <c r="A67" s="57" t="s">
        <v>275</v>
      </c>
      <c r="B67" s="48" t="s">
        <v>112</v>
      </c>
      <c r="C67" s="58" t="s">
        <v>276</v>
      </c>
      <c r="D67" s="59" t="s">
        <v>51</v>
      </c>
      <c r="E67" s="60" t="s">
        <v>37</v>
      </c>
      <c r="F67" s="61" t="s">
        <v>25</v>
      </c>
      <c r="G67" s="62" t="s">
        <v>113</v>
      </c>
      <c r="H67" s="63" t="s">
        <v>277</v>
      </c>
      <c r="I67" s="55"/>
      <c r="J67" s="64"/>
    </row>
    <row r="68" spans="1:10" ht="18" customHeight="1" x14ac:dyDescent="0.2">
      <c r="A68" s="38" t="s">
        <v>278</v>
      </c>
      <c r="B68" s="48" t="s">
        <v>112</v>
      </c>
      <c r="C68" s="49" t="s">
        <v>279</v>
      </c>
      <c r="D68" s="65" t="s">
        <v>51</v>
      </c>
      <c r="E68" s="51" t="s">
        <v>37</v>
      </c>
      <c r="F68" s="52" t="s">
        <v>25</v>
      </c>
      <c r="G68" s="75" t="s">
        <v>179</v>
      </c>
      <c r="H68" s="67"/>
      <c r="I68" s="55"/>
      <c r="J68" s="56"/>
    </row>
    <row r="69" spans="1:10" ht="18" customHeight="1" x14ac:dyDescent="0.2">
      <c r="A69" s="57" t="s">
        <v>280</v>
      </c>
      <c r="B69" s="48" t="s">
        <v>112</v>
      </c>
      <c r="C69" s="58" t="s">
        <v>281</v>
      </c>
      <c r="D69" s="59" t="s">
        <v>51</v>
      </c>
      <c r="E69" s="60" t="s">
        <v>37</v>
      </c>
      <c r="F69" s="61" t="s">
        <v>25</v>
      </c>
      <c r="G69" s="62" t="s">
        <v>113</v>
      </c>
      <c r="H69" s="63" t="s">
        <v>282</v>
      </c>
      <c r="I69" s="55"/>
      <c r="J69" s="64"/>
    </row>
    <row r="70" spans="1:10" ht="18" customHeight="1" x14ac:dyDescent="0.2">
      <c r="A70" s="38" t="s">
        <v>283</v>
      </c>
      <c r="B70" s="48" t="s">
        <v>112</v>
      </c>
      <c r="C70" s="49" t="s">
        <v>284</v>
      </c>
      <c r="D70" s="65" t="s">
        <v>51</v>
      </c>
      <c r="E70" s="51" t="s">
        <v>37</v>
      </c>
      <c r="F70" s="52" t="s">
        <v>25</v>
      </c>
      <c r="G70" s="53" t="s">
        <v>113</v>
      </c>
      <c r="H70" s="54" t="s">
        <v>285</v>
      </c>
      <c r="I70" s="55"/>
      <c r="J70" s="56"/>
    </row>
    <row r="71" spans="1:10" ht="18" customHeight="1" x14ac:dyDescent="0.2">
      <c r="A71" s="57" t="s">
        <v>286</v>
      </c>
      <c r="B71" s="48" t="s">
        <v>112</v>
      </c>
      <c r="C71" s="58" t="s">
        <v>287</v>
      </c>
      <c r="D71" s="59" t="s">
        <v>51</v>
      </c>
      <c r="E71" s="60" t="s">
        <v>37</v>
      </c>
      <c r="F71" s="61" t="s">
        <v>25</v>
      </c>
      <c r="G71" s="62" t="s">
        <v>113</v>
      </c>
      <c r="H71" s="63" t="s">
        <v>288</v>
      </c>
      <c r="I71" s="55"/>
      <c r="J71" s="64"/>
    </row>
    <row r="72" spans="1:10" ht="18" customHeight="1" x14ac:dyDescent="0.2">
      <c r="A72" s="38" t="s">
        <v>289</v>
      </c>
      <c r="B72" s="48" t="s">
        <v>112</v>
      </c>
      <c r="C72" s="49" t="s">
        <v>290</v>
      </c>
      <c r="D72" s="65" t="s">
        <v>51</v>
      </c>
      <c r="E72" s="51" t="s">
        <v>37</v>
      </c>
      <c r="F72" s="52" t="s">
        <v>25</v>
      </c>
      <c r="G72" s="53" t="s">
        <v>113</v>
      </c>
      <c r="H72" s="54" t="s">
        <v>291</v>
      </c>
      <c r="I72" s="55"/>
      <c r="J72" s="56"/>
    </row>
    <row r="73" spans="1:10" ht="18" customHeight="1" x14ac:dyDescent="0.2">
      <c r="A73" s="57" t="s">
        <v>292</v>
      </c>
      <c r="B73" s="48" t="s">
        <v>112</v>
      </c>
      <c r="C73" s="58" t="s">
        <v>293</v>
      </c>
      <c r="D73" s="59" t="s">
        <v>51</v>
      </c>
      <c r="E73" s="60" t="s">
        <v>37</v>
      </c>
      <c r="F73" s="61" t="s">
        <v>25</v>
      </c>
      <c r="G73" s="62" t="s">
        <v>113</v>
      </c>
      <c r="H73" s="63" t="s">
        <v>294</v>
      </c>
      <c r="I73" s="55"/>
      <c r="J73" s="64"/>
    </row>
    <row r="74" spans="1:10" ht="18" customHeight="1" x14ac:dyDescent="0.2">
      <c r="A74" s="38" t="s">
        <v>295</v>
      </c>
      <c r="B74" s="48" t="s">
        <v>112</v>
      </c>
      <c r="C74" s="49" t="s">
        <v>296</v>
      </c>
      <c r="D74" s="65" t="s">
        <v>51</v>
      </c>
      <c r="E74" s="51" t="s">
        <v>37</v>
      </c>
      <c r="F74" s="52" t="s">
        <v>25</v>
      </c>
      <c r="G74" s="75" t="s">
        <v>179</v>
      </c>
      <c r="H74" s="67"/>
      <c r="I74" s="55"/>
      <c r="J74" s="56"/>
    </row>
    <row r="75" spans="1:10" ht="18" customHeight="1" x14ac:dyDescent="0.2">
      <c r="A75" s="57" t="s">
        <v>297</v>
      </c>
      <c r="B75" s="48" t="s">
        <v>112</v>
      </c>
      <c r="C75" s="58" t="s">
        <v>60</v>
      </c>
      <c r="D75" s="59" t="s">
        <v>51</v>
      </c>
      <c r="E75" s="60" t="s">
        <v>37</v>
      </c>
      <c r="F75" s="61" t="s">
        <v>25</v>
      </c>
      <c r="G75" s="62" t="s">
        <v>113</v>
      </c>
      <c r="H75" s="63" t="s">
        <v>59</v>
      </c>
      <c r="I75" s="55"/>
      <c r="J75" s="64"/>
    </row>
    <row r="76" spans="1:10" ht="18" customHeight="1" x14ac:dyDescent="0.2">
      <c r="A76" s="38" t="s">
        <v>298</v>
      </c>
      <c r="B76" s="48" t="s">
        <v>112</v>
      </c>
      <c r="C76" s="49" t="s">
        <v>63</v>
      </c>
      <c r="D76" s="65" t="s">
        <v>51</v>
      </c>
      <c r="E76" s="51" t="s">
        <v>37</v>
      </c>
      <c r="F76" s="52" t="s">
        <v>25</v>
      </c>
      <c r="G76" s="53" t="s">
        <v>113</v>
      </c>
      <c r="H76" s="54" t="s">
        <v>62</v>
      </c>
      <c r="I76" s="55"/>
      <c r="J76" s="56"/>
    </row>
    <row r="77" spans="1:10" ht="18" customHeight="1" x14ac:dyDescent="0.2">
      <c r="A77" s="57" t="s">
        <v>299</v>
      </c>
      <c r="B77" s="48" t="s">
        <v>112</v>
      </c>
      <c r="C77" s="58" t="s">
        <v>300</v>
      </c>
      <c r="D77" s="59" t="s">
        <v>51</v>
      </c>
      <c r="E77" s="60" t="s">
        <v>37</v>
      </c>
      <c r="F77" s="61" t="s">
        <v>25</v>
      </c>
      <c r="G77" s="77" t="s">
        <v>179</v>
      </c>
      <c r="H77" s="78"/>
      <c r="I77" s="55"/>
      <c r="J77" s="64"/>
    </row>
    <row r="78" spans="1:10" ht="18" customHeight="1" x14ac:dyDescent="0.2">
      <c r="A78" s="38" t="s">
        <v>301</v>
      </c>
      <c r="B78" s="48" t="s">
        <v>112</v>
      </c>
      <c r="C78" s="49" t="s">
        <v>302</v>
      </c>
      <c r="D78" s="65" t="s">
        <v>51</v>
      </c>
      <c r="E78" s="51" t="s">
        <v>37</v>
      </c>
      <c r="F78" s="52" t="s">
        <v>25</v>
      </c>
      <c r="G78" s="75" t="s">
        <v>179</v>
      </c>
      <c r="H78" s="67"/>
      <c r="I78" s="55"/>
      <c r="J78" s="56"/>
    </row>
    <row r="79" spans="1:10" ht="18" customHeight="1" x14ac:dyDescent="0.2">
      <c r="A79" s="57" t="s">
        <v>303</v>
      </c>
      <c r="B79" s="48" t="s">
        <v>112</v>
      </c>
      <c r="C79" s="58" t="s">
        <v>38</v>
      </c>
      <c r="D79" s="66" t="s">
        <v>21</v>
      </c>
      <c r="E79" s="60" t="s">
        <v>38</v>
      </c>
      <c r="F79" s="61" t="s">
        <v>25</v>
      </c>
      <c r="G79" s="62" t="s">
        <v>113</v>
      </c>
      <c r="H79" s="78"/>
      <c r="I79" s="55"/>
      <c r="J79" s="64" t="s">
        <v>167</v>
      </c>
    </row>
    <row r="80" spans="1:10" ht="18" customHeight="1" x14ac:dyDescent="0.2">
      <c r="A80" s="38" t="s">
        <v>304</v>
      </c>
      <c r="B80" s="48" t="s">
        <v>112</v>
      </c>
      <c r="C80" s="49" t="s">
        <v>39</v>
      </c>
      <c r="D80" s="50" t="s">
        <v>21</v>
      </c>
      <c r="E80" s="51" t="s">
        <v>39</v>
      </c>
      <c r="F80" s="52" t="s">
        <v>27</v>
      </c>
      <c r="G80" s="53" t="s">
        <v>113</v>
      </c>
      <c r="H80" s="54" t="s">
        <v>305</v>
      </c>
      <c r="I80" s="55"/>
      <c r="J80" s="56"/>
    </row>
    <row r="81" spans="1:10" ht="18" customHeight="1" x14ac:dyDescent="0.2">
      <c r="A81" s="57" t="s">
        <v>306</v>
      </c>
      <c r="B81" s="48" t="s">
        <v>112</v>
      </c>
      <c r="C81" s="58" t="s">
        <v>66</v>
      </c>
      <c r="D81" s="59" t="s">
        <v>51</v>
      </c>
      <c r="E81" s="60" t="s">
        <v>39</v>
      </c>
      <c r="F81" s="61" t="s">
        <v>27</v>
      </c>
      <c r="G81" s="62" t="s">
        <v>113</v>
      </c>
      <c r="H81" s="63" t="s">
        <v>65</v>
      </c>
      <c r="I81" s="55"/>
      <c r="J81" s="64"/>
    </row>
    <row r="82" spans="1:10" ht="18" customHeight="1" x14ac:dyDescent="0.2">
      <c r="A82" s="38" t="s">
        <v>307</v>
      </c>
      <c r="B82" s="48" t="s">
        <v>112</v>
      </c>
      <c r="C82" s="49" t="s">
        <v>69</v>
      </c>
      <c r="D82" s="65" t="s">
        <v>51</v>
      </c>
      <c r="E82" s="51" t="s">
        <v>39</v>
      </c>
      <c r="F82" s="52" t="s">
        <v>27</v>
      </c>
      <c r="G82" s="53" t="s">
        <v>113</v>
      </c>
      <c r="H82" s="54" t="s">
        <v>68</v>
      </c>
      <c r="I82" s="55"/>
      <c r="J82" s="56"/>
    </row>
    <row r="83" spans="1:10" ht="18" customHeight="1" x14ac:dyDescent="0.2">
      <c r="A83" s="57" t="s">
        <v>308</v>
      </c>
      <c r="B83" s="48" t="s">
        <v>112</v>
      </c>
      <c r="C83" s="58" t="s">
        <v>309</v>
      </c>
      <c r="D83" s="59" t="s">
        <v>51</v>
      </c>
      <c r="E83" s="60" t="s">
        <v>39</v>
      </c>
      <c r="F83" s="61" t="s">
        <v>27</v>
      </c>
      <c r="G83" s="62" t="s">
        <v>113</v>
      </c>
      <c r="H83" s="63" t="s">
        <v>310</v>
      </c>
      <c r="I83" s="55"/>
      <c r="J83" s="64"/>
    </row>
    <row r="84" spans="1:10" ht="18" customHeight="1" x14ac:dyDescent="0.2">
      <c r="A84" s="38" t="s">
        <v>311</v>
      </c>
      <c r="B84" s="48" t="s">
        <v>112</v>
      </c>
      <c r="C84" s="49" t="s">
        <v>312</v>
      </c>
      <c r="D84" s="65" t="s">
        <v>51</v>
      </c>
      <c r="E84" s="51" t="s">
        <v>39</v>
      </c>
      <c r="F84" s="52" t="s">
        <v>27</v>
      </c>
      <c r="G84" s="53" t="s">
        <v>113</v>
      </c>
      <c r="H84" s="54" t="s">
        <v>313</v>
      </c>
      <c r="I84" s="55"/>
      <c r="J84" s="56"/>
    </row>
    <row r="85" spans="1:10" ht="18" customHeight="1" x14ac:dyDescent="0.2">
      <c r="A85" s="57" t="s">
        <v>314</v>
      </c>
      <c r="B85" s="48" t="s">
        <v>112</v>
      </c>
      <c r="C85" s="58" t="s">
        <v>315</v>
      </c>
      <c r="D85" s="59" t="s">
        <v>51</v>
      </c>
      <c r="E85" s="60" t="s">
        <v>39</v>
      </c>
      <c r="F85" s="61" t="s">
        <v>27</v>
      </c>
      <c r="G85" s="62" t="s">
        <v>113</v>
      </c>
      <c r="H85" s="63" t="s">
        <v>316</v>
      </c>
      <c r="I85" s="55"/>
      <c r="J85" s="64"/>
    </row>
    <row r="86" spans="1:10" ht="18" customHeight="1" x14ac:dyDescent="0.2">
      <c r="A86" s="38" t="s">
        <v>317</v>
      </c>
      <c r="B86" s="48" t="s">
        <v>112</v>
      </c>
      <c r="C86" s="49" t="s">
        <v>318</v>
      </c>
      <c r="D86" s="65" t="s">
        <v>51</v>
      </c>
      <c r="E86" s="51" t="s">
        <v>39</v>
      </c>
      <c r="F86" s="52" t="s">
        <v>27</v>
      </c>
      <c r="G86" s="75" t="s">
        <v>179</v>
      </c>
      <c r="H86" s="67"/>
      <c r="I86" s="55"/>
      <c r="J86" s="56"/>
    </row>
    <row r="87" spans="1:10" ht="18" customHeight="1" x14ac:dyDescent="0.2">
      <c r="A87" s="57" t="s">
        <v>319</v>
      </c>
      <c r="B87" s="48" t="s">
        <v>112</v>
      </c>
      <c r="C87" s="58" t="s">
        <v>320</v>
      </c>
      <c r="D87" s="59" t="s">
        <v>51</v>
      </c>
      <c r="E87" s="60" t="s">
        <v>39</v>
      </c>
      <c r="F87" s="61" t="s">
        <v>27</v>
      </c>
      <c r="G87" s="77" t="s">
        <v>179</v>
      </c>
      <c r="H87" s="78"/>
      <c r="I87" s="55"/>
      <c r="J87" s="64"/>
    </row>
    <row r="88" spans="1:10" ht="18" customHeight="1" x14ac:dyDescent="0.2">
      <c r="A88" s="38" t="s">
        <v>321</v>
      </c>
      <c r="B88" s="48" t="s">
        <v>112</v>
      </c>
      <c r="C88" s="49" t="s">
        <v>322</v>
      </c>
      <c r="D88" s="65" t="s">
        <v>51</v>
      </c>
      <c r="E88" s="51" t="s">
        <v>39</v>
      </c>
      <c r="F88" s="52" t="s">
        <v>27</v>
      </c>
      <c r="G88" s="53" t="s">
        <v>113</v>
      </c>
      <c r="H88" s="54" t="s">
        <v>323</v>
      </c>
      <c r="I88" s="55"/>
      <c r="J88" s="56"/>
    </row>
    <row r="89" spans="1:10" ht="18" customHeight="1" x14ac:dyDescent="0.2">
      <c r="A89" s="57" t="s">
        <v>324</v>
      </c>
      <c r="B89" s="48" t="s">
        <v>112</v>
      </c>
      <c r="C89" s="58" t="s">
        <v>325</v>
      </c>
      <c r="D89" s="59" t="s">
        <v>51</v>
      </c>
      <c r="E89" s="60" t="s">
        <v>39</v>
      </c>
      <c r="F89" s="61" t="s">
        <v>27</v>
      </c>
      <c r="G89" s="77" t="s">
        <v>179</v>
      </c>
      <c r="H89" s="78"/>
      <c r="I89" s="55"/>
      <c r="J89" s="64"/>
    </row>
    <row r="90" spans="1:10" ht="18" customHeight="1" x14ac:dyDescent="0.2">
      <c r="A90" s="38" t="s">
        <v>326</v>
      </c>
      <c r="B90" s="48" t="s">
        <v>112</v>
      </c>
      <c r="C90" s="49" t="s">
        <v>327</v>
      </c>
      <c r="D90" s="65" t="s">
        <v>51</v>
      </c>
      <c r="E90" s="51" t="s">
        <v>39</v>
      </c>
      <c r="F90" s="52" t="s">
        <v>27</v>
      </c>
      <c r="G90" s="53" t="s">
        <v>113</v>
      </c>
      <c r="H90" s="54" t="s">
        <v>328</v>
      </c>
      <c r="I90" s="55"/>
      <c r="J90" s="56"/>
    </row>
    <row r="91" spans="1:10" ht="18" customHeight="1" x14ac:dyDescent="0.2">
      <c r="A91" s="57" t="s">
        <v>329</v>
      </c>
      <c r="B91" s="48" t="s">
        <v>112</v>
      </c>
      <c r="C91" s="58" t="s">
        <v>330</v>
      </c>
      <c r="D91" s="59" t="s">
        <v>51</v>
      </c>
      <c r="E91" s="60" t="s">
        <v>39</v>
      </c>
      <c r="F91" s="61" t="s">
        <v>27</v>
      </c>
      <c r="G91" s="62" t="s">
        <v>113</v>
      </c>
      <c r="H91" s="63" t="s">
        <v>331</v>
      </c>
      <c r="I91" s="55"/>
      <c r="J91" s="64"/>
    </row>
    <row r="92" spans="1:10" ht="18" customHeight="1" x14ac:dyDescent="0.2">
      <c r="A92" s="38" t="s">
        <v>332</v>
      </c>
      <c r="B92" s="48" t="s">
        <v>112</v>
      </c>
      <c r="C92" s="49" t="s">
        <v>333</v>
      </c>
      <c r="D92" s="65" t="s">
        <v>51</v>
      </c>
      <c r="E92" s="51" t="s">
        <v>39</v>
      </c>
      <c r="F92" s="52" t="s">
        <v>27</v>
      </c>
      <c r="G92" s="53" t="s">
        <v>113</v>
      </c>
      <c r="H92" s="54" t="s">
        <v>334</v>
      </c>
      <c r="I92" s="55"/>
      <c r="J92" s="56"/>
    </row>
    <row r="93" spans="1:10" ht="18" customHeight="1" x14ac:dyDescent="0.2">
      <c r="A93" s="57" t="s">
        <v>335</v>
      </c>
      <c r="B93" s="48" t="s">
        <v>112</v>
      </c>
      <c r="C93" s="58" t="s">
        <v>40</v>
      </c>
      <c r="D93" s="66" t="s">
        <v>21</v>
      </c>
      <c r="E93" s="60" t="s">
        <v>40</v>
      </c>
      <c r="F93" s="61" t="s">
        <v>29</v>
      </c>
      <c r="G93" s="62" t="s">
        <v>113</v>
      </c>
      <c r="H93" s="63" t="s">
        <v>336</v>
      </c>
      <c r="I93" s="55"/>
      <c r="J93" s="64" t="s">
        <v>337</v>
      </c>
    </row>
    <row r="94" spans="1:10" ht="18" customHeight="1" x14ac:dyDescent="0.2">
      <c r="A94" s="38" t="s">
        <v>338</v>
      </c>
      <c r="B94" s="48" t="s">
        <v>112</v>
      </c>
      <c r="C94" s="49" t="s">
        <v>41</v>
      </c>
      <c r="D94" s="50" t="s">
        <v>21</v>
      </c>
      <c r="E94" s="51" t="s">
        <v>41</v>
      </c>
      <c r="F94" s="52" t="s">
        <v>29</v>
      </c>
      <c r="G94" s="53" t="s">
        <v>113</v>
      </c>
      <c r="H94" s="54" t="s">
        <v>339</v>
      </c>
      <c r="I94" s="55"/>
      <c r="J94" s="56"/>
    </row>
    <row r="95" spans="1:10" ht="18" customHeight="1" x14ac:dyDescent="0.2">
      <c r="A95" s="57" t="s">
        <v>340</v>
      </c>
      <c r="B95" s="48" t="s">
        <v>112</v>
      </c>
      <c r="C95" s="58" t="s">
        <v>341</v>
      </c>
      <c r="D95" s="59" t="s">
        <v>51</v>
      </c>
      <c r="E95" s="60" t="s">
        <v>41</v>
      </c>
      <c r="F95" s="61" t="s">
        <v>29</v>
      </c>
      <c r="G95" s="77" t="s">
        <v>179</v>
      </c>
      <c r="H95" s="78"/>
      <c r="I95" s="55"/>
      <c r="J95" s="64"/>
    </row>
    <row r="96" spans="1:10" ht="18" customHeight="1" x14ac:dyDescent="0.2">
      <c r="A96" s="38" t="s">
        <v>342</v>
      </c>
      <c r="B96" s="48" t="s">
        <v>112</v>
      </c>
      <c r="C96" s="49" t="s">
        <v>343</v>
      </c>
      <c r="D96" s="65" t="s">
        <v>51</v>
      </c>
      <c r="E96" s="51" t="s">
        <v>41</v>
      </c>
      <c r="F96" s="52" t="s">
        <v>29</v>
      </c>
      <c r="G96" s="75" t="s">
        <v>179</v>
      </c>
      <c r="H96" s="67"/>
      <c r="I96" s="55"/>
      <c r="J96" s="56"/>
    </row>
    <row r="97" spans="1:10" ht="18" customHeight="1" x14ac:dyDescent="0.2">
      <c r="A97" s="57" t="s">
        <v>344</v>
      </c>
      <c r="B97" s="48" t="s">
        <v>112</v>
      </c>
      <c r="C97" s="58" t="s">
        <v>72</v>
      </c>
      <c r="D97" s="59" t="s">
        <v>51</v>
      </c>
      <c r="E97" s="60" t="s">
        <v>41</v>
      </c>
      <c r="F97" s="61" t="s">
        <v>29</v>
      </c>
      <c r="G97" s="62" t="s">
        <v>113</v>
      </c>
      <c r="H97" s="63" t="s">
        <v>71</v>
      </c>
      <c r="I97" s="55"/>
      <c r="J97" s="64" t="s">
        <v>345</v>
      </c>
    </row>
    <row r="98" spans="1:10" ht="18" customHeight="1" x14ac:dyDescent="0.2">
      <c r="A98" s="38" t="s">
        <v>346</v>
      </c>
      <c r="B98" s="48" t="s">
        <v>112</v>
      </c>
      <c r="C98" s="49" t="s">
        <v>347</v>
      </c>
      <c r="D98" s="65" t="s">
        <v>51</v>
      </c>
      <c r="E98" s="51" t="s">
        <v>41</v>
      </c>
      <c r="F98" s="52" t="s">
        <v>29</v>
      </c>
      <c r="G98" s="75" t="s">
        <v>179</v>
      </c>
      <c r="H98" s="67"/>
      <c r="I98" s="55"/>
      <c r="J98" s="56"/>
    </row>
    <row r="99" spans="1:10" ht="18" customHeight="1" x14ac:dyDescent="0.2">
      <c r="A99" s="57" t="s">
        <v>348</v>
      </c>
      <c r="B99" s="48" t="s">
        <v>112</v>
      </c>
      <c r="C99" s="58" t="s">
        <v>349</v>
      </c>
      <c r="D99" s="59" t="s">
        <v>51</v>
      </c>
      <c r="E99" s="60" t="s">
        <v>41</v>
      </c>
      <c r="F99" s="61" t="s">
        <v>29</v>
      </c>
      <c r="G99" s="62" t="s">
        <v>113</v>
      </c>
      <c r="H99" s="63" t="s">
        <v>350</v>
      </c>
      <c r="I99" s="55"/>
      <c r="J99" s="64"/>
    </row>
    <row r="100" spans="1:10" ht="18" customHeight="1" x14ac:dyDescent="0.2">
      <c r="A100" s="38" t="s">
        <v>351</v>
      </c>
      <c r="B100" s="48" t="s">
        <v>112</v>
      </c>
      <c r="C100" s="49" t="s">
        <v>352</v>
      </c>
      <c r="D100" s="65" t="s">
        <v>51</v>
      </c>
      <c r="E100" s="51" t="s">
        <v>41</v>
      </c>
      <c r="F100" s="52" t="s">
        <v>29</v>
      </c>
      <c r="G100" s="53" t="s">
        <v>113</v>
      </c>
      <c r="H100" s="54" t="s">
        <v>353</v>
      </c>
      <c r="I100" s="55"/>
      <c r="J100" s="56"/>
    </row>
    <row r="101" spans="1:10" ht="18" customHeight="1" x14ac:dyDescent="0.2">
      <c r="A101" s="57" t="s">
        <v>354</v>
      </c>
      <c r="B101" s="48" t="s">
        <v>112</v>
      </c>
      <c r="C101" s="58" t="s">
        <v>75</v>
      </c>
      <c r="D101" s="59" t="s">
        <v>51</v>
      </c>
      <c r="E101" s="60" t="s">
        <v>41</v>
      </c>
      <c r="F101" s="61" t="s">
        <v>29</v>
      </c>
      <c r="G101" s="62" t="s">
        <v>113</v>
      </c>
      <c r="H101" s="63" t="s">
        <v>74</v>
      </c>
      <c r="I101" s="55"/>
      <c r="J101" s="64" t="s">
        <v>355</v>
      </c>
    </row>
    <row r="102" spans="1:10" ht="18" customHeight="1" x14ac:dyDescent="0.2">
      <c r="A102" s="38" t="s">
        <v>356</v>
      </c>
      <c r="B102" s="48" t="s">
        <v>112</v>
      </c>
      <c r="C102" s="49" t="s">
        <v>357</v>
      </c>
      <c r="D102" s="65" t="s">
        <v>51</v>
      </c>
      <c r="E102" s="51" t="s">
        <v>41</v>
      </c>
      <c r="F102" s="52" t="s">
        <v>29</v>
      </c>
      <c r="G102" s="75" t="s">
        <v>179</v>
      </c>
      <c r="H102" s="67"/>
      <c r="I102" s="55"/>
      <c r="J102" s="56" t="s">
        <v>358</v>
      </c>
    </row>
    <row r="103" spans="1:10" ht="18" customHeight="1" x14ac:dyDescent="0.2">
      <c r="A103" s="57" t="s">
        <v>359</v>
      </c>
      <c r="B103" s="48" t="s">
        <v>112</v>
      </c>
      <c r="C103" s="58" t="s">
        <v>360</v>
      </c>
      <c r="D103" s="59" t="s">
        <v>51</v>
      </c>
      <c r="E103" s="60" t="s">
        <v>41</v>
      </c>
      <c r="F103" s="61" t="s">
        <v>29</v>
      </c>
      <c r="G103" s="77" t="s">
        <v>179</v>
      </c>
      <c r="H103" s="78"/>
      <c r="I103" s="55"/>
      <c r="J103" s="64"/>
    </row>
    <row r="104" spans="1:10" ht="18" customHeight="1" x14ac:dyDescent="0.2">
      <c r="A104" s="38" t="s">
        <v>361</v>
      </c>
      <c r="B104" s="48" t="s">
        <v>112</v>
      </c>
      <c r="C104" s="49" t="s">
        <v>362</v>
      </c>
      <c r="D104" s="65" t="s">
        <v>51</v>
      </c>
      <c r="E104" s="51" t="s">
        <v>41</v>
      </c>
      <c r="F104" s="52" t="s">
        <v>29</v>
      </c>
      <c r="G104" s="53" t="s">
        <v>113</v>
      </c>
      <c r="H104" s="54" t="s">
        <v>363</v>
      </c>
      <c r="I104" s="55"/>
      <c r="J104" s="56" t="s">
        <v>364</v>
      </c>
    </row>
    <row r="105" spans="1:10" ht="18" customHeight="1" x14ac:dyDescent="0.2">
      <c r="A105" s="57" t="s">
        <v>365</v>
      </c>
      <c r="B105" s="48" t="s">
        <v>112</v>
      </c>
      <c r="C105" s="58" t="s">
        <v>366</v>
      </c>
      <c r="D105" s="59" t="s">
        <v>51</v>
      </c>
      <c r="E105" s="60" t="s">
        <v>41</v>
      </c>
      <c r="F105" s="61" t="s">
        <v>29</v>
      </c>
      <c r="G105" s="77" t="s">
        <v>179</v>
      </c>
      <c r="H105" s="63" t="s">
        <v>367</v>
      </c>
      <c r="I105" s="55"/>
      <c r="J105" s="64" t="s">
        <v>364</v>
      </c>
    </row>
    <row r="106" spans="1:10" ht="18" customHeight="1" x14ac:dyDescent="0.2">
      <c r="A106" s="38" t="s">
        <v>368</v>
      </c>
      <c r="B106" s="48" t="s">
        <v>112</v>
      </c>
      <c r="C106" s="49" t="s">
        <v>42</v>
      </c>
      <c r="D106" s="50" t="s">
        <v>21</v>
      </c>
      <c r="E106" s="51" t="s">
        <v>42</v>
      </c>
      <c r="F106" s="52" t="s">
        <v>29</v>
      </c>
      <c r="G106" s="53" t="s">
        <v>113</v>
      </c>
      <c r="H106" s="67"/>
      <c r="I106" s="55"/>
      <c r="J106" s="56"/>
    </row>
    <row r="107" spans="1:10" ht="18" customHeight="1" x14ac:dyDescent="0.2">
      <c r="A107" s="57" t="s">
        <v>369</v>
      </c>
      <c r="B107" s="48" t="s">
        <v>112</v>
      </c>
      <c r="C107" s="58" t="s">
        <v>370</v>
      </c>
      <c r="D107" s="59" t="s">
        <v>51</v>
      </c>
      <c r="E107" s="60" t="s">
        <v>42</v>
      </c>
      <c r="F107" s="61" t="s">
        <v>29</v>
      </c>
      <c r="G107" s="62" t="s">
        <v>113</v>
      </c>
      <c r="H107" s="63" t="s">
        <v>371</v>
      </c>
      <c r="I107" s="55"/>
      <c r="J107" s="64" t="s">
        <v>372</v>
      </c>
    </row>
    <row r="108" spans="1:10" ht="18" customHeight="1" x14ac:dyDescent="0.2">
      <c r="A108" s="38" t="s">
        <v>373</v>
      </c>
      <c r="B108" s="48" t="s">
        <v>112</v>
      </c>
      <c r="C108" s="49" t="s">
        <v>374</v>
      </c>
      <c r="D108" s="65" t="s">
        <v>51</v>
      </c>
      <c r="E108" s="51" t="s">
        <v>42</v>
      </c>
      <c r="F108" s="52" t="s">
        <v>29</v>
      </c>
      <c r="G108" s="53" t="s">
        <v>113</v>
      </c>
      <c r="H108" s="54" t="s">
        <v>375</v>
      </c>
      <c r="I108" s="55"/>
      <c r="J108" s="56" t="s">
        <v>372</v>
      </c>
    </row>
    <row r="109" spans="1:10" ht="18" customHeight="1" x14ac:dyDescent="0.2">
      <c r="A109" s="57" t="s">
        <v>376</v>
      </c>
      <c r="B109" s="48" t="s">
        <v>112</v>
      </c>
      <c r="C109" s="58" t="s">
        <v>377</v>
      </c>
      <c r="D109" s="59" t="s">
        <v>51</v>
      </c>
      <c r="E109" s="60" t="s">
        <v>42</v>
      </c>
      <c r="F109" s="61" t="s">
        <v>29</v>
      </c>
      <c r="G109" s="62" t="s">
        <v>113</v>
      </c>
      <c r="H109" s="63" t="s">
        <v>378</v>
      </c>
      <c r="I109" s="55"/>
      <c r="J109" s="64" t="s">
        <v>372</v>
      </c>
    </row>
    <row r="110" spans="1:10" ht="18" customHeight="1" x14ac:dyDescent="0.2">
      <c r="A110" s="38" t="s">
        <v>379</v>
      </c>
      <c r="B110" s="48" t="s">
        <v>112</v>
      </c>
      <c r="C110" s="49" t="s">
        <v>380</v>
      </c>
      <c r="D110" s="65" t="s">
        <v>51</v>
      </c>
      <c r="E110" s="51" t="s">
        <v>42</v>
      </c>
      <c r="F110" s="52" t="s">
        <v>29</v>
      </c>
      <c r="G110" s="53" t="s">
        <v>113</v>
      </c>
      <c r="H110" s="54" t="s">
        <v>381</v>
      </c>
      <c r="I110" s="55"/>
      <c r="J110" s="56" t="s">
        <v>372</v>
      </c>
    </row>
    <row r="111" spans="1:10" ht="18" customHeight="1" x14ac:dyDescent="0.2">
      <c r="A111" s="57" t="s">
        <v>382</v>
      </c>
      <c r="B111" s="48" t="s">
        <v>112</v>
      </c>
      <c r="C111" s="58" t="s">
        <v>383</v>
      </c>
      <c r="D111" s="59" t="s">
        <v>51</v>
      </c>
      <c r="E111" s="60" t="s">
        <v>42</v>
      </c>
      <c r="F111" s="61" t="s">
        <v>29</v>
      </c>
      <c r="G111" s="62" t="s">
        <v>113</v>
      </c>
      <c r="H111" s="63" t="s">
        <v>384</v>
      </c>
      <c r="I111" s="55"/>
      <c r="J111" s="64"/>
    </row>
    <row r="112" spans="1:10" ht="18" customHeight="1" x14ac:dyDescent="0.2">
      <c r="A112" s="38" t="s">
        <v>385</v>
      </c>
      <c r="B112" s="48" t="s">
        <v>112</v>
      </c>
      <c r="C112" s="49" t="s">
        <v>43</v>
      </c>
      <c r="D112" s="50" t="s">
        <v>21</v>
      </c>
      <c r="E112" s="51" t="s">
        <v>43</v>
      </c>
      <c r="F112" s="52" t="s">
        <v>29</v>
      </c>
      <c r="G112" s="53" t="s">
        <v>113</v>
      </c>
      <c r="H112" s="54" t="s">
        <v>386</v>
      </c>
      <c r="I112" s="55"/>
      <c r="J112" s="56"/>
    </row>
    <row r="113" spans="1:10" ht="18" customHeight="1" x14ac:dyDescent="0.2">
      <c r="A113" s="57" t="s">
        <v>387</v>
      </c>
      <c r="B113" s="48" t="s">
        <v>112</v>
      </c>
      <c r="C113" s="58" t="s">
        <v>388</v>
      </c>
      <c r="D113" s="59" t="s">
        <v>51</v>
      </c>
      <c r="E113" s="60" t="s">
        <v>43</v>
      </c>
      <c r="F113" s="61" t="s">
        <v>29</v>
      </c>
      <c r="G113" s="62" t="s">
        <v>113</v>
      </c>
      <c r="H113" s="63" t="s">
        <v>389</v>
      </c>
      <c r="I113" s="55"/>
      <c r="J113" s="64"/>
    </row>
    <row r="114" spans="1:10" ht="18" customHeight="1" x14ac:dyDescent="0.2">
      <c r="A114" s="38" t="s">
        <v>390</v>
      </c>
      <c r="B114" s="48" t="s">
        <v>112</v>
      </c>
      <c r="C114" s="49" t="s">
        <v>391</v>
      </c>
      <c r="D114" s="65" t="s">
        <v>51</v>
      </c>
      <c r="E114" s="51" t="s">
        <v>43</v>
      </c>
      <c r="F114" s="52" t="s">
        <v>29</v>
      </c>
      <c r="G114" s="53" t="s">
        <v>113</v>
      </c>
      <c r="H114" s="54" t="s">
        <v>392</v>
      </c>
      <c r="I114" s="55"/>
      <c r="J114" s="56"/>
    </row>
    <row r="115" spans="1:10" ht="18" customHeight="1" x14ac:dyDescent="0.2">
      <c r="A115" s="57" t="s">
        <v>393</v>
      </c>
      <c r="B115" s="48" t="s">
        <v>112</v>
      </c>
      <c r="C115" s="58" t="s">
        <v>394</v>
      </c>
      <c r="D115" s="59" t="s">
        <v>51</v>
      </c>
      <c r="E115" s="60" t="s">
        <v>43</v>
      </c>
      <c r="F115" s="61" t="s">
        <v>29</v>
      </c>
      <c r="G115" s="62" t="s">
        <v>113</v>
      </c>
      <c r="H115" s="63" t="s">
        <v>395</v>
      </c>
      <c r="I115" s="55"/>
      <c r="J115" s="64" t="s">
        <v>372</v>
      </c>
    </row>
    <row r="116" spans="1:10" ht="18" customHeight="1" x14ac:dyDescent="0.2">
      <c r="A116" s="38" t="s">
        <v>396</v>
      </c>
      <c r="B116" s="48" t="s">
        <v>112</v>
      </c>
      <c r="C116" s="49" t="s">
        <v>397</v>
      </c>
      <c r="D116" s="65" t="s">
        <v>51</v>
      </c>
      <c r="E116" s="51" t="s">
        <v>43</v>
      </c>
      <c r="F116" s="52" t="s">
        <v>29</v>
      </c>
      <c r="G116" s="53" t="s">
        <v>113</v>
      </c>
      <c r="H116" s="54" t="s">
        <v>398</v>
      </c>
      <c r="I116" s="55"/>
      <c r="J116" s="56"/>
    </row>
    <row r="117" spans="1:10" ht="18" customHeight="1" x14ac:dyDescent="0.2">
      <c r="A117" s="57" t="s">
        <v>399</v>
      </c>
      <c r="B117" s="48" t="s">
        <v>112</v>
      </c>
      <c r="C117" s="58" t="s">
        <v>400</v>
      </c>
      <c r="D117" s="59" t="s">
        <v>51</v>
      </c>
      <c r="E117" s="60" t="s">
        <v>43</v>
      </c>
      <c r="F117" s="61" t="s">
        <v>29</v>
      </c>
      <c r="G117" s="62" t="s">
        <v>113</v>
      </c>
      <c r="H117" s="63" t="s">
        <v>401</v>
      </c>
      <c r="I117" s="55"/>
      <c r="J117" s="64" t="s">
        <v>372</v>
      </c>
    </row>
    <row r="118" spans="1:10" ht="18" customHeight="1" x14ac:dyDescent="0.2">
      <c r="A118" s="38" t="s">
        <v>402</v>
      </c>
      <c r="B118" s="48" t="s">
        <v>112</v>
      </c>
      <c r="C118" s="49" t="s">
        <v>403</v>
      </c>
      <c r="D118" s="65" t="s">
        <v>51</v>
      </c>
      <c r="E118" s="51" t="s">
        <v>43</v>
      </c>
      <c r="F118" s="52" t="s">
        <v>29</v>
      </c>
      <c r="G118" s="53" t="s">
        <v>113</v>
      </c>
      <c r="H118" s="54" t="s">
        <v>404</v>
      </c>
      <c r="I118" s="55"/>
      <c r="J118" s="56" t="s">
        <v>364</v>
      </c>
    </row>
    <row r="119" spans="1:10" ht="18" customHeight="1" x14ac:dyDescent="0.2">
      <c r="A119" s="57" t="s">
        <v>405</v>
      </c>
      <c r="B119" s="48" t="s">
        <v>112</v>
      </c>
      <c r="C119" s="58" t="s">
        <v>44</v>
      </c>
      <c r="D119" s="66" t="s">
        <v>21</v>
      </c>
      <c r="E119" s="60" t="s">
        <v>44</v>
      </c>
      <c r="F119" s="61" t="s">
        <v>31</v>
      </c>
      <c r="G119" s="62" t="s">
        <v>113</v>
      </c>
      <c r="H119" s="63" t="s">
        <v>406</v>
      </c>
      <c r="I119" s="55"/>
      <c r="J119" s="64"/>
    </row>
    <row r="120" spans="1:10" ht="18" customHeight="1" x14ac:dyDescent="0.2">
      <c r="A120" s="38" t="s">
        <v>407</v>
      </c>
      <c r="B120" s="48" t="s">
        <v>112</v>
      </c>
      <c r="C120" s="49" t="s">
        <v>408</v>
      </c>
      <c r="D120" s="65" t="s">
        <v>51</v>
      </c>
      <c r="E120" s="51" t="s">
        <v>44</v>
      </c>
      <c r="F120" s="52" t="s">
        <v>31</v>
      </c>
      <c r="G120" s="53" t="s">
        <v>113</v>
      </c>
      <c r="H120" s="54" t="s">
        <v>409</v>
      </c>
      <c r="I120" s="55"/>
      <c r="J120" s="56"/>
    </row>
    <row r="121" spans="1:10" ht="18" customHeight="1" x14ac:dyDescent="0.2">
      <c r="A121" s="57" t="s">
        <v>410</v>
      </c>
      <c r="B121" s="48" t="s">
        <v>112</v>
      </c>
      <c r="C121" s="58" t="s">
        <v>411</v>
      </c>
      <c r="D121" s="59" t="s">
        <v>51</v>
      </c>
      <c r="E121" s="60" t="s">
        <v>44</v>
      </c>
      <c r="F121" s="61" t="s">
        <v>31</v>
      </c>
      <c r="G121" s="62" t="s">
        <v>113</v>
      </c>
      <c r="H121" s="63" t="s">
        <v>412</v>
      </c>
      <c r="I121" s="55"/>
      <c r="J121" s="64"/>
    </row>
    <row r="122" spans="1:10" ht="18" customHeight="1" x14ac:dyDescent="0.2">
      <c r="A122" s="38" t="s">
        <v>413</v>
      </c>
      <c r="B122" s="48" t="s">
        <v>112</v>
      </c>
      <c r="C122" s="49" t="s">
        <v>414</v>
      </c>
      <c r="D122" s="65" t="s">
        <v>51</v>
      </c>
      <c r="E122" s="51" t="s">
        <v>44</v>
      </c>
      <c r="F122" s="52" t="s">
        <v>31</v>
      </c>
      <c r="G122" s="53" t="s">
        <v>113</v>
      </c>
      <c r="H122" s="54" t="s">
        <v>415</v>
      </c>
      <c r="I122" s="55"/>
      <c r="J122" s="56"/>
    </row>
    <row r="123" spans="1:10" ht="18" customHeight="1" x14ac:dyDescent="0.2">
      <c r="A123" s="57" t="s">
        <v>416</v>
      </c>
      <c r="B123" s="48" t="s">
        <v>112</v>
      </c>
      <c r="C123" s="58" t="s">
        <v>417</v>
      </c>
      <c r="D123" s="59" t="s">
        <v>51</v>
      </c>
      <c r="E123" s="60" t="s">
        <v>44</v>
      </c>
      <c r="F123" s="61" t="s">
        <v>31</v>
      </c>
      <c r="G123" s="62" t="s">
        <v>113</v>
      </c>
      <c r="H123" s="63" t="s">
        <v>418</v>
      </c>
      <c r="I123" s="55"/>
      <c r="J123" s="64"/>
    </row>
    <row r="124" spans="1:10" ht="18" customHeight="1" x14ac:dyDescent="0.2">
      <c r="A124" s="38" t="s">
        <v>419</v>
      </c>
      <c r="B124" s="48" t="s">
        <v>112</v>
      </c>
      <c r="C124" s="49" t="s">
        <v>420</v>
      </c>
      <c r="D124" s="65" t="s">
        <v>51</v>
      </c>
      <c r="E124" s="51" t="s">
        <v>44</v>
      </c>
      <c r="F124" s="52" t="s">
        <v>31</v>
      </c>
      <c r="G124" s="53" t="s">
        <v>113</v>
      </c>
      <c r="H124" s="54" t="s">
        <v>421</v>
      </c>
      <c r="I124" s="55"/>
      <c r="J124" s="56"/>
    </row>
    <row r="125" spans="1:10" ht="18" customHeight="1" x14ac:dyDescent="0.2">
      <c r="A125" s="57" t="s">
        <v>422</v>
      </c>
      <c r="B125" s="48" t="s">
        <v>112</v>
      </c>
      <c r="C125" s="58" t="s">
        <v>45</v>
      </c>
      <c r="D125" s="66" t="s">
        <v>21</v>
      </c>
      <c r="E125" s="60" t="s">
        <v>45</v>
      </c>
      <c r="F125" s="61" t="s">
        <v>33</v>
      </c>
      <c r="G125" s="62" t="s">
        <v>113</v>
      </c>
      <c r="H125" s="63" t="s">
        <v>423</v>
      </c>
      <c r="I125" s="55"/>
      <c r="J125" s="64" t="s">
        <v>424</v>
      </c>
    </row>
    <row r="126" spans="1:10" ht="18" customHeight="1" x14ac:dyDescent="0.2">
      <c r="A126" s="38" t="s">
        <v>425</v>
      </c>
      <c r="B126" s="48" t="s">
        <v>112</v>
      </c>
      <c r="C126" s="49" t="s">
        <v>426</v>
      </c>
      <c r="D126" s="65" t="s">
        <v>51</v>
      </c>
      <c r="E126" s="51" t="s">
        <v>45</v>
      </c>
      <c r="F126" s="52" t="s">
        <v>33</v>
      </c>
      <c r="G126" s="53" t="s">
        <v>113</v>
      </c>
      <c r="H126" s="54" t="s">
        <v>427</v>
      </c>
      <c r="I126" s="55"/>
      <c r="J126" s="56" t="s">
        <v>428</v>
      </c>
    </row>
    <row r="127" spans="1:10" ht="18" customHeight="1" x14ac:dyDescent="0.2">
      <c r="A127" s="57" t="s">
        <v>429</v>
      </c>
      <c r="B127" s="48" t="s">
        <v>112</v>
      </c>
      <c r="C127" s="58" t="s">
        <v>430</v>
      </c>
      <c r="D127" s="59" t="s">
        <v>51</v>
      </c>
      <c r="E127" s="60" t="s">
        <v>45</v>
      </c>
      <c r="F127" s="61" t="s">
        <v>33</v>
      </c>
      <c r="G127" s="62" t="s">
        <v>113</v>
      </c>
      <c r="H127" s="63" t="s">
        <v>431</v>
      </c>
      <c r="I127" s="55"/>
      <c r="J127" s="64" t="s">
        <v>428</v>
      </c>
    </row>
    <row r="128" spans="1:10" ht="18" customHeight="1" x14ac:dyDescent="0.2">
      <c r="A128" s="38" t="s">
        <v>432</v>
      </c>
      <c r="B128" s="48" t="s">
        <v>112</v>
      </c>
      <c r="C128" s="49" t="s">
        <v>433</v>
      </c>
      <c r="D128" s="65" t="s">
        <v>51</v>
      </c>
      <c r="E128" s="51" t="s">
        <v>45</v>
      </c>
      <c r="F128" s="52" t="s">
        <v>33</v>
      </c>
      <c r="G128" s="53" t="s">
        <v>113</v>
      </c>
      <c r="H128" s="54" t="s">
        <v>434</v>
      </c>
      <c r="I128" s="55"/>
      <c r="J128" s="56" t="s">
        <v>428</v>
      </c>
    </row>
    <row r="129" spans="1:10" ht="18" customHeight="1" x14ac:dyDescent="0.2">
      <c r="A129" s="57" t="s">
        <v>435</v>
      </c>
      <c r="B129" s="48" t="s">
        <v>112</v>
      </c>
      <c r="C129" s="58" t="s">
        <v>436</v>
      </c>
      <c r="D129" s="59" t="s">
        <v>51</v>
      </c>
      <c r="E129" s="60" t="s">
        <v>45</v>
      </c>
      <c r="F129" s="61" t="s">
        <v>33</v>
      </c>
      <c r="G129" s="77" t="s">
        <v>179</v>
      </c>
      <c r="H129" s="78"/>
      <c r="I129" s="55"/>
      <c r="J129" s="64"/>
    </row>
    <row r="130" spans="1:10" ht="18" customHeight="1" x14ac:dyDescent="0.2">
      <c r="A130" s="38" t="s">
        <v>437</v>
      </c>
      <c r="B130" s="48" t="s">
        <v>112</v>
      </c>
      <c r="C130" s="49" t="s">
        <v>438</v>
      </c>
      <c r="D130" s="65" t="s">
        <v>51</v>
      </c>
      <c r="E130" s="51" t="s">
        <v>45</v>
      </c>
      <c r="F130" s="52" t="s">
        <v>33</v>
      </c>
      <c r="G130" s="53" t="s">
        <v>113</v>
      </c>
      <c r="H130" s="54" t="s">
        <v>439</v>
      </c>
      <c r="I130" s="55"/>
      <c r="J130" s="56" t="s">
        <v>428</v>
      </c>
    </row>
    <row r="131" spans="1:10" ht="18" customHeight="1" x14ac:dyDescent="0.2">
      <c r="A131" s="57" t="s">
        <v>440</v>
      </c>
      <c r="B131" s="48" t="s">
        <v>112</v>
      </c>
      <c r="C131" s="58" t="s">
        <v>441</v>
      </c>
      <c r="D131" s="59" t="s">
        <v>51</v>
      </c>
      <c r="E131" s="60" t="s">
        <v>45</v>
      </c>
      <c r="F131" s="61" t="s">
        <v>33</v>
      </c>
      <c r="G131" s="62" t="s">
        <v>113</v>
      </c>
      <c r="H131" s="63" t="s">
        <v>442</v>
      </c>
      <c r="I131" s="55"/>
      <c r="J131" s="64" t="s">
        <v>428</v>
      </c>
    </row>
    <row r="132" spans="1:10" ht="18" customHeight="1" x14ac:dyDescent="0.2">
      <c r="A132" s="38" t="s">
        <v>443</v>
      </c>
      <c r="B132" s="48" t="s">
        <v>112</v>
      </c>
      <c r="C132" s="49" t="s">
        <v>444</v>
      </c>
      <c r="D132" s="65" t="s">
        <v>51</v>
      </c>
      <c r="E132" s="51" t="s">
        <v>45</v>
      </c>
      <c r="F132" s="52" t="s">
        <v>33</v>
      </c>
      <c r="G132" s="75" t="s">
        <v>179</v>
      </c>
      <c r="H132" s="67"/>
      <c r="I132" s="55"/>
      <c r="J132" s="56"/>
    </row>
    <row r="133" spans="1:10" ht="18" customHeight="1" x14ac:dyDescent="0.2">
      <c r="A133" s="57" t="s">
        <v>445</v>
      </c>
      <c r="B133" s="48" t="s">
        <v>112</v>
      </c>
      <c r="C133" s="58" t="s">
        <v>446</v>
      </c>
      <c r="D133" s="59" t="s">
        <v>51</v>
      </c>
      <c r="E133" s="60" t="s">
        <v>45</v>
      </c>
      <c r="F133" s="61" t="s">
        <v>33</v>
      </c>
      <c r="G133" s="77" t="s">
        <v>179</v>
      </c>
      <c r="H133" s="78"/>
      <c r="I133" s="55"/>
      <c r="J133" s="64"/>
    </row>
    <row r="134" spans="1:10" ht="18" customHeight="1" x14ac:dyDescent="0.2">
      <c r="A134" s="38" t="s">
        <v>447</v>
      </c>
      <c r="B134" s="48" t="s">
        <v>112</v>
      </c>
      <c r="C134" s="49" t="s">
        <v>448</v>
      </c>
      <c r="D134" s="65" t="s">
        <v>51</v>
      </c>
      <c r="E134" s="51" t="s">
        <v>45</v>
      </c>
      <c r="F134" s="52" t="s">
        <v>33</v>
      </c>
      <c r="G134" s="53" t="s">
        <v>113</v>
      </c>
      <c r="H134" s="54" t="s">
        <v>449</v>
      </c>
      <c r="I134" s="55"/>
      <c r="J134" s="56" t="s">
        <v>428</v>
      </c>
    </row>
  </sheetData>
  <mergeCells count="1">
    <mergeCell ref="A1:J1"/>
  </mergeCells>
  <conditionalFormatting sqref="G4:G134">
    <cfRule type="cellIs" dxfId="0" priority="2" operator="equal">
      <formula>"INACTIVO"</formula>
    </cfRule>
  </conditionalFormatting>
  <dataValidations count="2">
    <dataValidation type="list" sqref="G4:G234" xr:uid="{00000000-0002-0000-0200-000000000000}">
      <formula1>"ACTIVO,INACTIVO"</formula1>
      <formula2>0</formula2>
    </dataValidation>
    <dataValidation type="list" allowBlank="1" sqref="F4:F234" xr:uid="{00000000-0002-0000-0200-000001000000}">
      <formula1>"COCHABAMBA,LA PAZ,ORURO,SANTA CRUZ,SUCRE,TARIJA"</formula1>
      <formula2>0</formula2>
    </dataValidation>
  </dataValidations>
  <pageMargins left="0.75" right="0.75" top="1" bottom="1" header="0.511811023622047" footer="0.511811023622047"/>
  <pageSetup paperSize="9" orientation="portrait" horizontalDpi="300" verticalDpi="300"/>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17706E"/>
  </sheetPr>
  <dimension ref="A1:I130"/>
  <sheetViews>
    <sheetView showGridLines="0" tabSelected="1" zoomScaleNormal="100" workbookViewId="0">
      <pane ySplit="3" topLeftCell="A14" activePane="bottomLeft" state="frozen"/>
      <selection pane="bottomLeft" activeCell="A35" sqref="A35:XFD35"/>
    </sheetView>
  </sheetViews>
  <sheetFormatPr baseColWidth="10" defaultColWidth="8.6640625" defaultRowHeight="15" x14ac:dyDescent="0.2"/>
  <cols>
    <col min="1" max="1" width="13" customWidth="1"/>
    <col min="2" max="2" width="18" customWidth="1"/>
    <col min="3" max="3" width="14" customWidth="1"/>
    <col min="4" max="4" width="38" customWidth="1"/>
    <col min="5" max="5" width="28" customWidth="1"/>
    <col min="6" max="6" width="14" customWidth="1"/>
    <col min="7" max="7" width="13" customWidth="1"/>
    <col min="8" max="8" width="10" customWidth="1"/>
    <col min="9" max="9" width="45" customWidth="1"/>
  </cols>
  <sheetData>
    <row r="1" spans="1:9" ht="31.5" customHeight="1" x14ac:dyDescent="0.2">
      <c r="A1" s="132" t="s">
        <v>450</v>
      </c>
      <c r="B1" s="132"/>
      <c r="C1" s="132"/>
      <c r="D1" s="132"/>
      <c r="E1" s="132"/>
      <c r="F1" s="132"/>
      <c r="G1" s="132"/>
      <c r="H1" s="132"/>
      <c r="I1" s="132"/>
    </row>
    <row r="2" spans="1:9" ht="6" customHeight="1" x14ac:dyDescent="0.2"/>
    <row r="3" spans="1:9" ht="30" customHeight="1" x14ac:dyDescent="0.2">
      <c r="A3" s="15" t="s">
        <v>50</v>
      </c>
      <c r="B3" s="15" t="s">
        <v>451</v>
      </c>
      <c r="C3" s="15" t="s">
        <v>452</v>
      </c>
      <c r="D3" s="15" t="s">
        <v>453</v>
      </c>
      <c r="E3" s="15" t="s">
        <v>21</v>
      </c>
      <c r="F3" s="15" t="s">
        <v>15</v>
      </c>
      <c r="G3" s="15" t="s">
        <v>454</v>
      </c>
      <c r="H3" s="15" t="s">
        <v>455</v>
      </c>
      <c r="I3" s="15" t="s">
        <v>100</v>
      </c>
    </row>
    <row r="4" spans="1:9" ht="18" customHeight="1" x14ac:dyDescent="0.2">
      <c r="A4" s="79" t="s">
        <v>162</v>
      </c>
      <c r="B4" s="35" t="s">
        <v>456</v>
      </c>
      <c r="C4" s="80" t="s">
        <v>16</v>
      </c>
      <c r="D4" s="28" t="s">
        <v>161</v>
      </c>
      <c r="E4" s="28" t="s">
        <v>26</v>
      </c>
      <c r="F4" s="29" t="s">
        <v>23</v>
      </c>
      <c r="G4" s="25"/>
      <c r="H4" s="81" t="s">
        <v>457</v>
      </c>
      <c r="I4" s="56"/>
    </row>
    <row r="5" spans="1:9" ht="18" customHeight="1" x14ac:dyDescent="0.2">
      <c r="A5" s="82" t="s">
        <v>155</v>
      </c>
      <c r="B5" s="83" t="s">
        <v>456</v>
      </c>
      <c r="C5" s="80" t="s">
        <v>16</v>
      </c>
      <c r="D5" s="84" t="s">
        <v>154</v>
      </c>
      <c r="E5" s="84" t="s">
        <v>26</v>
      </c>
      <c r="F5" s="85" t="s">
        <v>23</v>
      </c>
      <c r="G5" s="86"/>
      <c r="H5" s="87" t="s">
        <v>457</v>
      </c>
      <c r="I5" s="88"/>
    </row>
    <row r="6" spans="1:9" ht="18" customHeight="1" x14ac:dyDescent="0.2">
      <c r="A6" s="79" t="s">
        <v>159</v>
      </c>
      <c r="B6" s="35" t="s">
        <v>456</v>
      </c>
      <c r="C6" s="80" t="s">
        <v>16</v>
      </c>
      <c r="D6" s="28" t="s">
        <v>158</v>
      </c>
      <c r="E6" s="28" t="s">
        <v>26</v>
      </c>
      <c r="F6" s="29" t="s">
        <v>23</v>
      </c>
      <c r="G6" s="25"/>
      <c r="H6" s="81" t="s">
        <v>457</v>
      </c>
      <c r="I6" s="56"/>
    </row>
    <row r="7" spans="1:9" ht="18" customHeight="1" x14ac:dyDescent="0.2">
      <c r="A7" s="82" t="s">
        <v>143</v>
      </c>
      <c r="B7" s="83" t="s">
        <v>456</v>
      </c>
      <c r="C7" s="80" t="s">
        <v>16</v>
      </c>
      <c r="D7" s="84" t="s">
        <v>142</v>
      </c>
      <c r="E7" s="84" t="s">
        <v>26</v>
      </c>
      <c r="F7" s="85" t="s">
        <v>23</v>
      </c>
      <c r="G7" s="86"/>
      <c r="H7" s="87" t="s">
        <v>457</v>
      </c>
      <c r="I7" s="88"/>
    </row>
    <row r="8" spans="1:9" ht="18" customHeight="1" x14ac:dyDescent="0.2">
      <c r="A8" s="79" t="s">
        <v>458</v>
      </c>
      <c r="B8" s="35" t="s">
        <v>456</v>
      </c>
      <c r="C8" s="89" t="s">
        <v>17</v>
      </c>
      <c r="D8" s="28" t="s">
        <v>459</v>
      </c>
      <c r="E8" s="28" t="s">
        <v>26</v>
      </c>
      <c r="F8" s="29" t="s">
        <v>23</v>
      </c>
      <c r="G8" s="25"/>
      <c r="H8" s="81" t="s">
        <v>457</v>
      </c>
      <c r="I8" s="56"/>
    </row>
    <row r="9" spans="1:9" ht="18" customHeight="1" x14ac:dyDescent="0.2">
      <c r="A9" s="82" t="s">
        <v>140</v>
      </c>
      <c r="B9" s="83" t="s">
        <v>456</v>
      </c>
      <c r="C9" s="80" t="s">
        <v>16</v>
      </c>
      <c r="D9" s="84" t="s">
        <v>26</v>
      </c>
      <c r="E9" s="84" t="s">
        <v>26</v>
      </c>
      <c r="F9" s="85" t="s">
        <v>23</v>
      </c>
      <c r="G9" s="86"/>
      <c r="H9" s="87" t="s">
        <v>457</v>
      </c>
      <c r="I9" s="88"/>
    </row>
    <row r="10" spans="1:9" ht="18" customHeight="1" x14ac:dyDescent="0.2">
      <c r="A10" s="79" t="s">
        <v>149</v>
      </c>
      <c r="B10" s="35" t="s">
        <v>456</v>
      </c>
      <c r="C10" s="80" t="s">
        <v>16</v>
      </c>
      <c r="D10" s="28" t="s">
        <v>148</v>
      </c>
      <c r="E10" s="28" t="s">
        <v>26</v>
      </c>
      <c r="F10" s="29" t="s">
        <v>23</v>
      </c>
      <c r="G10" s="25"/>
      <c r="H10" s="81" t="s">
        <v>457</v>
      </c>
      <c r="I10" s="56"/>
    </row>
    <row r="11" spans="1:9" ht="18" customHeight="1" x14ac:dyDescent="0.2">
      <c r="A11" s="82" t="s">
        <v>165</v>
      </c>
      <c r="B11" s="83" t="s">
        <v>456</v>
      </c>
      <c r="C11" s="80" t="s">
        <v>16</v>
      </c>
      <c r="D11" s="84" t="s">
        <v>164</v>
      </c>
      <c r="E11" s="84" t="s">
        <v>26</v>
      </c>
      <c r="F11" s="85" t="s">
        <v>23</v>
      </c>
      <c r="G11" s="86"/>
      <c r="H11" s="87" t="s">
        <v>457</v>
      </c>
      <c r="I11" s="88"/>
    </row>
    <row r="12" spans="1:9" ht="18" customHeight="1" x14ac:dyDescent="0.2">
      <c r="A12" s="79" t="s">
        <v>152</v>
      </c>
      <c r="B12" s="35" t="s">
        <v>456</v>
      </c>
      <c r="C12" s="80" t="s">
        <v>16</v>
      </c>
      <c r="D12" s="28" t="s">
        <v>151</v>
      </c>
      <c r="E12" s="28" t="s">
        <v>26</v>
      </c>
      <c r="F12" s="29" t="s">
        <v>23</v>
      </c>
      <c r="G12" s="25"/>
      <c r="H12" s="81" t="s">
        <v>457</v>
      </c>
      <c r="I12" s="56"/>
    </row>
    <row r="13" spans="1:9" ht="18" customHeight="1" x14ac:dyDescent="0.2">
      <c r="A13" s="82" t="s">
        <v>412</v>
      </c>
      <c r="B13" s="83" t="s">
        <v>456</v>
      </c>
      <c r="C13" s="80" t="s">
        <v>16</v>
      </c>
      <c r="D13" s="84" t="s">
        <v>411</v>
      </c>
      <c r="E13" s="84" t="s">
        <v>44</v>
      </c>
      <c r="F13" s="85" t="s">
        <v>31</v>
      </c>
      <c r="G13" s="86"/>
      <c r="H13" s="87" t="s">
        <v>457</v>
      </c>
      <c r="I13" s="88"/>
    </row>
    <row r="14" spans="1:9" ht="18" customHeight="1" x14ac:dyDescent="0.2">
      <c r="A14" s="79" t="s">
        <v>460</v>
      </c>
      <c r="B14" s="35" t="s">
        <v>456</v>
      </c>
      <c r="C14" s="89" t="s">
        <v>17</v>
      </c>
      <c r="D14" s="28" t="s">
        <v>459</v>
      </c>
      <c r="E14" s="28" t="s">
        <v>26</v>
      </c>
      <c r="F14" s="29" t="s">
        <v>23</v>
      </c>
      <c r="G14" s="25"/>
      <c r="H14" s="81" t="s">
        <v>457</v>
      </c>
      <c r="I14" s="56"/>
    </row>
    <row r="15" spans="1:9" ht="18" customHeight="1" x14ac:dyDescent="0.2">
      <c r="A15" s="82" t="s">
        <v>146</v>
      </c>
      <c r="B15" s="83" t="s">
        <v>456</v>
      </c>
      <c r="C15" s="80" t="s">
        <v>16</v>
      </c>
      <c r="D15" s="84" t="s">
        <v>145</v>
      </c>
      <c r="E15" s="84" t="s">
        <v>26</v>
      </c>
      <c r="F15" s="85" t="s">
        <v>23</v>
      </c>
      <c r="G15" s="86"/>
      <c r="H15" s="87" t="s">
        <v>457</v>
      </c>
      <c r="I15" s="88"/>
    </row>
    <row r="16" spans="1:9" ht="18" customHeight="1" x14ac:dyDescent="0.2">
      <c r="A16" s="90" t="s">
        <v>233</v>
      </c>
      <c r="B16" s="91" t="s">
        <v>456</v>
      </c>
      <c r="C16" s="92" t="s">
        <v>16</v>
      </c>
      <c r="D16" s="93" t="s">
        <v>461</v>
      </c>
      <c r="E16" s="93" t="s">
        <v>32</v>
      </c>
      <c r="F16" s="94" t="s">
        <v>25</v>
      </c>
      <c r="G16" s="95"/>
      <c r="H16" s="96" t="s">
        <v>457</v>
      </c>
      <c r="I16" s="97" t="s">
        <v>462</v>
      </c>
    </row>
    <row r="17" spans="1:9" ht="18" customHeight="1" x14ac:dyDescent="0.2">
      <c r="A17" s="82" t="s">
        <v>230</v>
      </c>
      <c r="B17" s="83" t="s">
        <v>456</v>
      </c>
      <c r="C17" s="80" t="s">
        <v>16</v>
      </c>
      <c r="D17" s="84" t="s">
        <v>229</v>
      </c>
      <c r="E17" s="84" t="s">
        <v>32</v>
      </c>
      <c r="F17" s="85" t="s">
        <v>25</v>
      </c>
      <c r="G17" s="86"/>
      <c r="H17" s="87" t="s">
        <v>457</v>
      </c>
      <c r="I17" s="88"/>
    </row>
    <row r="18" spans="1:9" ht="18" customHeight="1" x14ac:dyDescent="0.2">
      <c r="A18" s="79" t="s">
        <v>246</v>
      </c>
      <c r="B18" s="35" t="s">
        <v>456</v>
      </c>
      <c r="C18" s="80" t="s">
        <v>16</v>
      </c>
      <c r="D18" s="28" t="s">
        <v>245</v>
      </c>
      <c r="E18" s="28" t="s">
        <v>34</v>
      </c>
      <c r="F18" s="29" t="s">
        <v>25</v>
      </c>
      <c r="G18" s="25"/>
      <c r="H18" s="81" t="s">
        <v>457</v>
      </c>
      <c r="I18" s="56"/>
    </row>
    <row r="19" spans="1:9" ht="18" customHeight="1" x14ac:dyDescent="0.2">
      <c r="A19" s="82" t="s">
        <v>254</v>
      </c>
      <c r="B19" s="83" t="s">
        <v>456</v>
      </c>
      <c r="C19" s="80" t="s">
        <v>16</v>
      </c>
      <c r="D19" s="84" t="s">
        <v>253</v>
      </c>
      <c r="E19" s="84" t="s">
        <v>34</v>
      </c>
      <c r="F19" s="85" t="s">
        <v>25</v>
      </c>
      <c r="G19" s="86"/>
      <c r="H19" s="87" t="s">
        <v>457</v>
      </c>
      <c r="I19" s="88"/>
    </row>
    <row r="20" spans="1:9" ht="18" customHeight="1" x14ac:dyDescent="0.2">
      <c r="A20" s="79" t="s">
        <v>176</v>
      </c>
      <c r="B20" s="35" t="s">
        <v>456</v>
      </c>
      <c r="C20" s="80" t="s">
        <v>16</v>
      </c>
      <c r="D20" s="28" t="s">
        <v>175</v>
      </c>
      <c r="E20" s="28" t="s">
        <v>30</v>
      </c>
      <c r="F20" s="29" t="s">
        <v>25</v>
      </c>
      <c r="G20" s="25"/>
      <c r="H20" s="81" t="s">
        <v>457</v>
      </c>
      <c r="I20" s="56"/>
    </row>
    <row r="21" spans="1:9" ht="18" customHeight="1" x14ac:dyDescent="0.2">
      <c r="A21" s="82" t="s">
        <v>305</v>
      </c>
      <c r="B21" s="83" t="s">
        <v>456</v>
      </c>
      <c r="C21" s="80" t="s">
        <v>16</v>
      </c>
      <c r="D21" s="84" t="s">
        <v>39</v>
      </c>
      <c r="E21" s="84" t="s">
        <v>39</v>
      </c>
      <c r="F21" s="85" t="s">
        <v>27</v>
      </c>
      <c r="G21" s="86"/>
      <c r="H21" s="87" t="s">
        <v>457</v>
      </c>
      <c r="I21" s="88"/>
    </row>
    <row r="22" spans="1:9" ht="18" customHeight="1" x14ac:dyDescent="0.2">
      <c r="A22" s="79" t="s">
        <v>328</v>
      </c>
      <c r="B22" s="35" t="s">
        <v>456</v>
      </c>
      <c r="C22" s="80" t="s">
        <v>16</v>
      </c>
      <c r="D22" s="28" t="s">
        <v>327</v>
      </c>
      <c r="E22" s="28" t="s">
        <v>39</v>
      </c>
      <c r="F22" s="29" t="s">
        <v>27</v>
      </c>
      <c r="G22" s="25"/>
      <c r="H22" s="81" t="s">
        <v>457</v>
      </c>
      <c r="I22" s="56"/>
    </row>
    <row r="23" spans="1:9" ht="18" customHeight="1" x14ac:dyDescent="0.2">
      <c r="A23" s="82" t="s">
        <v>334</v>
      </c>
      <c r="B23" s="83" t="s">
        <v>456</v>
      </c>
      <c r="C23" s="80" t="s">
        <v>16</v>
      </c>
      <c r="D23" s="84" t="s">
        <v>333</v>
      </c>
      <c r="E23" s="84" t="s">
        <v>39</v>
      </c>
      <c r="F23" s="85" t="s">
        <v>27</v>
      </c>
      <c r="G23" s="86"/>
      <c r="H23" s="87" t="s">
        <v>457</v>
      </c>
      <c r="I23" s="88"/>
    </row>
    <row r="24" spans="1:9" ht="18" customHeight="1" x14ac:dyDescent="0.2">
      <c r="A24" s="79" t="s">
        <v>323</v>
      </c>
      <c r="B24" s="35" t="s">
        <v>456</v>
      </c>
      <c r="C24" s="80" t="s">
        <v>16</v>
      </c>
      <c r="D24" s="28" t="s">
        <v>322</v>
      </c>
      <c r="E24" s="28" t="s">
        <v>39</v>
      </c>
      <c r="F24" s="29" t="s">
        <v>27</v>
      </c>
      <c r="G24" s="25"/>
      <c r="H24" s="81" t="s">
        <v>457</v>
      </c>
      <c r="I24" s="56"/>
    </row>
    <row r="25" spans="1:9" ht="18" customHeight="1" x14ac:dyDescent="0.2">
      <c r="A25" s="82" t="s">
        <v>331</v>
      </c>
      <c r="B25" s="83" t="s">
        <v>456</v>
      </c>
      <c r="C25" s="80" t="s">
        <v>16</v>
      </c>
      <c r="D25" s="84" t="s">
        <v>330</v>
      </c>
      <c r="E25" s="84" t="s">
        <v>39</v>
      </c>
      <c r="F25" s="85" t="s">
        <v>27</v>
      </c>
      <c r="G25" s="86"/>
      <c r="H25" s="87" t="s">
        <v>457</v>
      </c>
      <c r="I25" s="88"/>
    </row>
    <row r="26" spans="1:9" ht="18" customHeight="1" x14ac:dyDescent="0.2">
      <c r="A26" s="79" t="s">
        <v>313</v>
      </c>
      <c r="B26" s="35" t="s">
        <v>456</v>
      </c>
      <c r="C26" s="80" t="s">
        <v>16</v>
      </c>
      <c r="D26" s="28" t="s">
        <v>312</v>
      </c>
      <c r="E26" s="28" t="s">
        <v>39</v>
      </c>
      <c r="F26" s="29" t="s">
        <v>27</v>
      </c>
      <c r="G26" s="25"/>
      <c r="H26" s="81" t="s">
        <v>457</v>
      </c>
      <c r="I26" s="56"/>
    </row>
    <row r="27" spans="1:9" ht="18" customHeight="1" x14ac:dyDescent="0.2">
      <c r="A27" s="82" t="s">
        <v>310</v>
      </c>
      <c r="B27" s="83" t="s">
        <v>456</v>
      </c>
      <c r="C27" s="80" t="s">
        <v>16</v>
      </c>
      <c r="D27" s="84" t="s">
        <v>309</v>
      </c>
      <c r="E27" s="84" t="s">
        <v>39</v>
      </c>
      <c r="F27" s="85" t="s">
        <v>27</v>
      </c>
      <c r="G27" s="86"/>
      <c r="H27" s="87" t="s">
        <v>457</v>
      </c>
      <c r="I27" s="88"/>
    </row>
    <row r="28" spans="1:9" ht="18" customHeight="1" x14ac:dyDescent="0.2">
      <c r="A28" s="79" t="s">
        <v>188</v>
      </c>
      <c r="B28" s="35" t="s">
        <v>456</v>
      </c>
      <c r="C28" s="80" t="s">
        <v>16</v>
      </c>
      <c r="D28" s="28" t="s">
        <v>187</v>
      </c>
      <c r="E28" s="28" t="s">
        <v>30</v>
      </c>
      <c r="F28" s="29" t="s">
        <v>25</v>
      </c>
      <c r="G28" s="25"/>
      <c r="H28" s="81" t="s">
        <v>457</v>
      </c>
      <c r="I28" s="56"/>
    </row>
    <row r="29" spans="1:9" ht="18" customHeight="1" x14ac:dyDescent="0.2">
      <c r="A29" s="82" t="s">
        <v>291</v>
      </c>
      <c r="B29" s="83" t="s">
        <v>456</v>
      </c>
      <c r="C29" s="80" t="s">
        <v>16</v>
      </c>
      <c r="D29" s="84" t="s">
        <v>290</v>
      </c>
      <c r="E29" s="84" t="s">
        <v>37</v>
      </c>
      <c r="F29" s="85" t="s">
        <v>25</v>
      </c>
      <c r="G29" s="86"/>
      <c r="H29" s="87" t="s">
        <v>457</v>
      </c>
      <c r="I29" s="88"/>
    </row>
    <row r="30" spans="1:9" ht="18" customHeight="1" x14ac:dyDescent="0.2">
      <c r="A30" s="79" t="s">
        <v>240</v>
      </c>
      <c r="B30" s="35" t="s">
        <v>456</v>
      </c>
      <c r="C30" s="80" t="s">
        <v>16</v>
      </c>
      <c r="D30" s="28" t="s">
        <v>239</v>
      </c>
      <c r="E30" s="28" t="s">
        <v>34</v>
      </c>
      <c r="F30" s="29" t="s">
        <v>25</v>
      </c>
      <c r="G30" s="25"/>
      <c r="H30" s="81" t="s">
        <v>457</v>
      </c>
      <c r="I30" s="56"/>
    </row>
    <row r="31" spans="1:9" ht="18" customHeight="1" x14ac:dyDescent="0.2">
      <c r="A31" s="82" t="s">
        <v>415</v>
      </c>
      <c r="B31" s="83" t="s">
        <v>456</v>
      </c>
      <c r="C31" s="80" t="s">
        <v>16</v>
      </c>
      <c r="D31" s="84" t="s">
        <v>414</v>
      </c>
      <c r="E31" s="84" t="s">
        <v>44</v>
      </c>
      <c r="F31" s="85" t="s">
        <v>31</v>
      </c>
      <c r="G31" s="86"/>
      <c r="H31" s="87" t="s">
        <v>457</v>
      </c>
      <c r="I31" s="88"/>
    </row>
    <row r="32" spans="1:9" ht="18" customHeight="1" x14ac:dyDescent="0.2">
      <c r="A32" s="79" t="s">
        <v>409</v>
      </c>
      <c r="B32" s="35" t="s">
        <v>456</v>
      </c>
      <c r="C32" s="80" t="s">
        <v>16</v>
      </c>
      <c r="D32" s="28" t="s">
        <v>408</v>
      </c>
      <c r="E32" s="28" t="s">
        <v>44</v>
      </c>
      <c r="F32" s="29" t="s">
        <v>31</v>
      </c>
      <c r="G32" s="25"/>
      <c r="H32" s="81" t="s">
        <v>457</v>
      </c>
      <c r="I32" s="56"/>
    </row>
    <row r="33" spans="1:9" ht="18" customHeight="1" x14ac:dyDescent="0.2">
      <c r="A33" s="82" t="s">
        <v>418</v>
      </c>
      <c r="B33" s="83" t="s">
        <v>456</v>
      </c>
      <c r="C33" s="80" t="s">
        <v>16</v>
      </c>
      <c r="D33" s="84" t="s">
        <v>417</v>
      </c>
      <c r="E33" s="84" t="s">
        <v>44</v>
      </c>
      <c r="F33" s="85" t="s">
        <v>31</v>
      </c>
      <c r="G33" s="86"/>
      <c r="H33" s="87" t="s">
        <v>457</v>
      </c>
      <c r="I33" s="88"/>
    </row>
    <row r="34" spans="1:9" ht="18" customHeight="1" x14ac:dyDescent="0.2">
      <c r="A34" s="79" t="s">
        <v>191</v>
      </c>
      <c r="B34" s="35" t="s">
        <v>456</v>
      </c>
      <c r="C34" s="80" t="s">
        <v>16</v>
      </c>
      <c r="D34" s="28" t="s">
        <v>190</v>
      </c>
      <c r="E34" s="28" t="s">
        <v>30</v>
      </c>
      <c r="F34" s="29" t="s">
        <v>25</v>
      </c>
      <c r="G34" s="25"/>
      <c r="H34" s="81" t="s">
        <v>457</v>
      </c>
      <c r="I34" s="56"/>
    </row>
    <row r="35" spans="1:9" ht="18" customHeight="1" x14ac:dyDescent="0.2">
      <c r="A35" s="82" t="s">
        <v>117</v>
      </c>
      <c r="B35" s="83" t="s">
        <v>456</v>
      </c>
      <c r="C35" s="80" t="s">
        <v>16</v>
      </c>
      <c r="D35" s="84" t="s">
        <v>116</v>
      </c>
      <c r="E35" s="84" t="s">
        <v>24</v>
      </c>
      <c r="F35" s="85" t="s">
        <v>23</v>
      </c>
      <c r="G35" s="86"/>
      <c r="H35" s="87" t="s">
        <v>457</v>
      </c>
      <c r="I35" s="88"/>
    </row>
    <row r="36" spans="1:9" ht="18" customHeight="1" x14ac:dyDescent="0.2">
      <c r="A36" s="79" t="s">
        <v>277</v>
      </c>
      <c r="B36" s="35" t="s">
        <v>456</v>
      </c>
      <c r="C36" s="80" t="s">
        <v>16</v>
      </c>
      <c r="D36" s="28" t="s">
        <v>276</v>
      </c>
      <c r="E36" s="28" t="s">
        <v>37</v>
      </c>
      <c r="F36" s="29" t="s">
        <v>25</v>
      </c>
      <c r="G36" s="25"/>
      <c r="H36" s="81" t="s">
        <v>457</v>
      </c>
      <c r="I36" s="56"/>
    </row>
    <row r="37" spans="1:9" ht="18" customHeight="1" x14ac:dyDescent="0.2">
      <c r="A37" s="82" t="s">
        <v>285</v>
      </c>
      <c r="B37" s="83" t="s">
        <v>456</v>
      </c>
      <c r="C37" s="80" t="s">
        <v>16</v>
      </c>
      <c r="D37" s="84" t="s">
        <v>284</v>
      </c>
      <c r="E37" s="84" t="s">
        <v>37</v>
      </c>
      <c r="F37" s="85" t="s">
        <v>25</v>
      </c>
      <c r="G37" s="86"/>
      <c r="H37" s="87" t="s">
        <v>457</v>
      </c>
      <c r="I37" s="88"/>
    </row>
    <row r="38" spans="1:9" ht="18" customHeight="1" x14ac:dyDescent="0.2">
      <c r="A38" s="79" t="s">
        <v>236</v>
      </c>
      <c r="B38" s="35" t="s">
        <v>456</v>
      </c>
      <c r="C38" s="80" t="s">
        <v>16</v>
      </c>
      <c r="D38" s="28" t="s">
        <v>34</v>
      </c>
      <c r="E38" s="28" t="s">
        <v>34</v>
      </c>
      <c r="F38" s="29" t="s">
        <v>25</v>
      </c>
      <c r="G38" s="25"/>
      <c r="H38" s="81" t="s">
        <v>457</v>
      </c>
      <c r="I38" s="56"/>
    </row>
    <row r="39" spans="1:9" ht="18" customHeight="1" x14ac:dyDescent="0.2">
      <c r="A39" s="82" t="s">
        <v>173</v>
      </c>
      <c r="B39" s="83" t="s">
        <v>456</v>
      </c>
      <c r="C39" s="80" t="s">
        <v>16</v>
      </c>
      <c r="D39" s="84" t="s">
        <v>172</v>
      </c>
      <c r="E39" s="84" t="s">
        <v>30</v>
      </c>
      <c r="F39" s="85" t="s">
        <v>25</v>
      </c>
      <c r="G39" s="86"/>
      <c r="H39" s="87" t="s">
        <v>457</v>
      </c>
      <c r="I39" s="88" t="s">
        <v>463</v>
      </c>
    </row>
    <row r="40" spans="1:9" ht="18" customHeight="1" x14ac:dyDescent="0.2">
      <c r="A40" s="79" t="s">
        <v>288</v>
      </c>
      <c r="B40" s="35" t="s">
        <v>456</v>
      </c>
      <c r="C40" s="80" t="s">
        <v>16</v>
      </c>
      <c r="D40" s="28" t="s">
        <v>287</v>
      </c>
      <c r="E40" s="28" t="s">
        <v>37</v>
      </c>
      <c r="F40" s="29" t="s">
        <v>25</v>
      </c>
      <c r="G40" s="25"/>
      <c r="H40" s="81" t="s">
        <v>457</v>
      </c>
      <c r="I40" s="56"/>
    </row>
    <row r="41" spans="1:9" ht="18" customHeight="1" x14ac:dyDescent="0.2">
      <c r="A41" s="82" t="s">
        <v>270</v>
      </c>
      <c r="B41" s="83" t="s">
        <v>456</v>
      </c>
      <c r="C41" s="80" t="s">
        <v>16</v>
      </c>
      <c r="D41" s="84" t="s">
        <v>269</v>
      </c>
      <c r="E41" s="84" t="s">
        <v>37</v>
      </c>
      <c r="F41" s="85" t="s">
        <v>25</v>
      </c>
      <c r="G41" s="86"/>
      <c r="H41" s="87" t="s">
        <v>457</v>
      </c>
      <c r="I41" s="88"/>
    </row>
    <row r="42" spans="1:9" ht="18" customHeight="1" x14ac:dyDescent="0.2">
      <c r="A42" s="79" t="s">
        <v>182</v>
      </c>
      <c r="B42" s="35" t="s">
        <v>456</v>
      </c>
      <c r="C42" s="80" t="s">
        <v>16</v>
      </c>
      <c r="D42" s="28" t="s">
        <v>181</v>
      </c>
      <c r="E42" s="28" t="s">
        <v>30</v>
      </c>
      <c r="F42" s="29" t="s">
        <v>25</v>
      </c>
      <c r="G42" s="25"/>
      <c r="H42" s="81" t="s">
        <v>457</v>
      </c>
      <c r="I42" s="56"/>
    </row>
    <row r="43" spans="1:9" ht="18" customHeight="1" x14ac:dyDescent="0.2">
      <c r="A43" s="90" t="s">
        <v>169</v>
      </c>
      <c r="B43" s="91" t="s">
        <v>456</v>
      </c>
      <c r="C43" s="92" t="s">
        <v>16</v>
      </c>
      <c r="D43" s="93" t="s">
        <v>464</v>
      </c>
      <c r="E43" s="93" t="s">
        <v>30</v>
      </c>
      <c r="F43" s="94" t="s">
        <v>25</v>
      </c>
      <c r="G43" s="95"/>
      <c r="H43" s="96" t="s">
        <v>457</v>
      </c>
      <c r="I43" s="97" t="s">
        <v>465</v>
      </c>
    </row>
    <row r="44" spans="1:9" ht="18" customHeight="1" x14ac:dyDescent="0.2">
      <c r="A44" s="79" t="s">
        <v>294</v>
      </c>
      <c r="B44" s="35" t="s">
        <v>456</v>
      </c>
      <c r="C44" s="80" t="s">
        <v>16</v>
      </c>
      <c r="D44" s="28" t="s">
        <v>293</v>
      </c>
      <c r="E44" s="28" t="s">
        <v>37</v>
      </c>
      <c r="F44" s="29" t="s">
        <v>25</v>
      </c>
      <c r="G44" s="25"/>
      <c r="H44" s="81" t="s">
        <v>457</v>
      </c>
      <c r="I44" s="56"/>
    </row>
    <row r="45" spans="1:9" ht="18" customHeight="1" x14ac:dyDescent="0.2">
      <c r="A45" s="82" t="s">
        <v>211</v>
      </c>
      <c r="B45" s="83" t="s">
        <v>456</v>
      </c>
      <c r="C45" s="80" t="s">
        <v>16</v>
      </c>
      <c r="D45" s="84" t="s">
        <v>210</v>
      </c>
      <c r="E45" s="84" t="s">
        <v>32</v>
      </c>
      <c r="F45" s="85" t="s">
        <v>25</v>
      </c>
      <c r="G45" s="86"/>
      <c r="H45" s="87" t="s">
        <v>457</v>
      </c>
      <c r="I45" s="88" t="s">
        <v>466</v>
      </c>
    </row>
    <row r="46" spans="1:9" ht="18" customHeight="1" x14ac:dyDescent="0.2">
      <c r="A46" s="79" t="s">
        <v>282</v>
      </c>
      <c r="B46" s="35" t="s">
        <v>456</v>
      </c>
      <c r="C46" s="80" t="s">
        <v>16</v>
      </c>
      <c r="D46" s="28" t="s">
        <v>281</v>
      </c>
      <c r="E46" s="28" t="s">
        <v>37</v>
      </c>
      <c r="F46" s="29" t="s">
        <v>25</v>
      </c>
      <c r="G46" s="25"/>
      <c r="H46" s="81" t="s">
        <v>457</v>
      </c>
      <c r="I46" s="56"/>
    </row>
    <row r="47" spans="1:9" ht="18" customHeight="1" x14ac:dyDescent="0.2">
      <c r="A47" s="82" t="s">
        <v>251</v>
      </c>
      <c r="B47" s="83" t="s">
        <v>456</v>
      </c>
      <c r="C47" s="80" t="s">
        <v>16</v>
      </c>
      <c r="D47" s="84" t="s">
        <v>250</v>
      </c>
      <c r="E47" s="84" t="s">
        <v>34</v>
      </c>
      <c r="F47" s="85" t="s">
        <v>25</v>
      </c>
      <c r="G47" s="86"/>
      <c r="H47" s="87" t="s">
        <v>457</v>
      </c>
      <c r="I47" s="88"/>
    </row>
    <row r="48" spans="1:9" ht="18" customHeight="1" x14ac:dyDescent="0.2">
      <c r="A48" s="79" t="s">
        <v>243</v>
      </c>
      <c r="B48" s="35" t="s">
        <v>456</v>
      </c>
      <c r="C48" s="80" t="s">
        <v>16</v>
      </c>
      <c r="D48" s="28" t="s">
        <v>242</v>
      </c>
      <c r="E48" s="28" t="s">
        <v>34</v>
      </c>
      <c r="F48" s="29" t="s">
        <v>25</v>
      </c>
      <c r="G48" s="25"/>
      <c r="H48" s="81" t="s">
        <v>457</v>
      </c>
      <c r="I48" s="56"/>
    </row>
    <row r="49" spans="1:9" ht="18" customHeight="1" x14ac:dyDescent="0.2">
      <c r="A49" s="82" t="s">
        <v>367</v>
      </c>
      <c r="B49" s="83" t="s">
        <v>456</v>
      </c>
      <c r="C49" s="89" t="s">
        <v>17</v>
      </c>
      <c r="D49" s="84" t="s">
        <v>467</v>
      </c>
      <c r="E49" s="84" t="s">
        <v>41</v>
      </c>
      <c r="F49" s="85" t="s">
        <v>29</v>
      </c>
      <c r="G49" s="86"/>
      <c r="H49" s="87" t="s">
        <v>457</v>
      </c>
      <c r="I49" s="88" t="s">
        <v>468</v>
      </c>
    </row>
    <row r="50" spans="1:9" ht="18" customHeight="1" x14ac:dyDescent="0.2">
      <c r="A50" s="79" t="s">
        <v>339</v>
      </c>
      <c r="B50" s="35" t="s">
        <v>456</v>
      </c>
      <c r="C50" s="80" t="s">
        <v>16</v>
      </c>
      <c r="D50" s="28" t="s">
        <v>41</v>
      </c>
      <c r="E50" s="28" t="s">
        <v>41</v>
      </c>
      <c r="F50" s="29" t="s">
        <v>29</v>
      </c>
      <c r="G50" s="25"/>
      <c r="H50" s="81" t="s">
        <v>457</v>
      </c>
      <c r="I50" s="56"/>
    </row>
    <row r="51" spans="1:9" ht="18" customHeight="1" x14ac:dyDescent="0.2">
      <c r="A51" s="82" t="s">
        <v>406</v>
      </c>
      <c r="B51" s="83" t="s">
        <v>456</v>
      </c>
      <c r="C51" s="80" t="s">
        <v>16</v>
      </c>
      <c r="D51" s="84" t="s">
        <v>44</v>
      </c>
      <c r="E51" s="84" t="s">
        <v>44</v>
      </c>
      <c r="F51" s="85" t="s">
        <v>31</v>
      </c>
      <c r="G51" s="86"/>
      <c r="H51" s="87" t="s">
        <v>457</v>
      </c>
      <c r="I51" s="88" t="s">
        <v>469</v>
      </c>
    </row>
    <row r="52" spans="1:9" ht="18" customHeight="1" x14ac:dyDescent="0.2">
      <c r="A52" s="79" t="s">
        <v>114</v>
      </c>
      <c r="B52" s="35" t="s">
        <v>456</v>
      </c>
      <c r="C52" s="80" t="s">
        <v>16</v>
      </c>
      <c r="D52" s="28" t="s">
        <v>24</v>
      </c>
      <c r="E52" s="28" t="s">
        <v>24</v>
      </c>
      <c r="F52" s="29" t="s">
        <v>23</v>
      </c>
      <c r="G52" s="25"/>
      <c r="H52" s="81" t="s">
        <v>457</v>
      </c>
      <c r="I52" s="56"/>
    </row>
    <row r="53" spans="1:9" ht="18" customHeight="1" x14ac:dyDescent="0.2">
      <c r="A53" s="82" t="s">
        <v>194</v>
      </c>
      <c r="B53" s="83" t="s">
        <v>456</v>
      </c>
      <c r="C53" s="80" t="s">
        <v>16</v>
      </c>
      <c r="D53" s="84" t="s">
        <v>193</v>
      </c>
      <c r="E53" s="84" t="s">
        <v>30</v>
      </c>
      <c r="F53" s="85" t="s">
        <v>25</v>
      </c>
      <c r="G53" s="86"/>
      <c r="H53" s="87" t="s">
        <v>457</v>
      </c>
      <c r="I53" s="88"/>
    </row>
    <row r="54" spans="1:9" ht="18" customHeight="1" x14ac:dyDescent="0.2">
      <c r="A54" s="79" t="s">
        <v>353</v>
      </c>
      <c r="B54" s="35" t="s">
        <v>456</v>
      </c>
      <c r="C54" s="80" t="s">
        <v>16</v>
      </c>
      <c r="D54" s="28" t="s">
        <v>352</v>
      </c>
      <c r="E54" s="28" t="s">
        <v>41</v>
      </c>
      <c r="F54" s="29" t="s">
        <v>29</v>
      </c>
      <c r="G54" s="25"/>
      <c r="H54" s="81" t="s">
        <v>457</v>
      </c>
      <c r="I54" s="56"/>
    </row>
    <row r="55" spans="1:9" ht="18" customHeight="1" x14ac:dyDescent="0.2">
      <c r="A55" s="82" t="s">
        <v>363</v>
      </c>
      <c r="B55" s="83" t="s">
        <v>456</v>
      </c>
      <c r="C55" s="80" t="s">
        <v>16</v>
      </c>
      <c r="D55" s="84" t="s">
        <v>362</v>
      </c>
      <c r="E55" s="84" t="s">
        <v>41</v>
      </c>
      <c r="F55" s="85" t="s">
        <v>29</v>
      </c>
      <c r="G55" s="86"/>
      <c r="H55" s="87" t="s">
        <v>457</v>
      </c>
      <c r="I55" s="88" t="s">
        <v>470</v>
      </c>
    </row>
    <row r="56" spans="1:9" ht="18" customHeight="1" x14ac:dyDescent="0.2">
      <c r="A56" s="79" t="s">
        <v>350</v>
      </c>
      <c r="B56" s="35" t="s">
        <v>456</v>
      </c>
      <c r="C56" s="80" t="s">
        <v>16</v>
      </c>
      <c r="D56" s="28" t="s">
        <v>349</v>
      </c>
      <c r="E56" s="28" t="s">
        <v>41</v>
      </c>
      <c r="F56" s="29" t="s">
        <v>29</v>
      </c>
      <c r="G56" s="25"/>
      <c r="H56" s="81" t="s">
        <v>457</v>
      </c>
      <c r="I56" s="56"/>
    </row>
    <row r="57" spans="1:9" ht="18" customHeight="1" x14ac:dyDescent="0.2">
      <c r="A57" s="82" t="s">
        <v>123</v>
      </c>
      <c r="B57" s="83" t="s">
        <v>456</v>
      </c>
      <c r="C57" s="80" t="s">
        <v>16</v>
      </c>
      <c r="D57" s="84" t="s">
        <v>122</v>
      </c>
      <c r="E57" s="84" t="s">
        <v>24</v>
      </c>
      <c r="F57" s="85" t="s">
        <v>23</v>
      </c>
      <c r="G57" s="86"/>
      <c r="H57" s="87" t="s">
        <v>457</v>
      </c>
      <c r="I57" s="88"/>
    </row>
    <row r="58" spans="1:9" ht="18" customHeight="1" x14ac:dyDescent="0.2">
      <c r="A58" s="79" t="s">
        <v>389</v>
      </c>
      <c r="B58" s="35" t="s">
        <v>456</v>
      </c>
      <c r="C58" s="80" t="s">
        <v>16</v>
      </c>
      <c r="D58" s="28" t="s">
        <v>388</v>
      </c>
      <c r="E58" s="28" t="s">
        <v>43</v>
      </c>
      <c r="F58" s="29" t="s">
        <v>29</v>
      </c>
      <c r="G58" s="25"/>
      <c r="H58" s="81" t="s">
        <v>457</v>
      </c>
      <c r="I58" s="56"/>
    </row>
    <row r="59" spans="1:9" ht="18" customHeight="1" x14ac:dyDescent="0.2">
      <c r="A59" s="82" t="s">
        <v>316</v>
      </c>
      <c r="B59" s="83" t="s">
        <v>456</v>
      </c>
      <c r="C59" s="80" t="s">
        <v>16</v>
      </c>
      <c r="D59" s="84" t="s">
        <v>315</v>
      </c>
      <c r="E59" s="84" t="s">
        <v>39</v>
      </c>
      <c r="F59" s="85" t="s">
        <v>27</v>
      </c>
      <c r="G59" s="86"/>
      <c r="H59" s="87" t="s">
        <v>457</v>
      </c>
      <c r="I59" s="88"/>
    </row>
    <row r="60" spans="1:9" ht="18" customHeight="1" x14ac:dyDescent="0.2">
      <c r="A60" s="79" t="s">
        <v>138</v>
      </c>
      <c r="B60" s="35" t="s">
        <v>456</v>
      </c>
      <c r="C60" s="80" t="s">
        <v>16</v>
      </c>
      <c r="D60" s="28" t="s">
        <v>137</v>
      </c>
      <c r="E60" s="28" t="s">
        <v>24</v>
      </c>
      <c r="F60" s="29" t="s">
        <v>23</v>
      </c>
      <c r="G60" s="25"/>
      <c r="H60" s="81" t="s">
        <v>457</v>
      </c>
      <c r="I60" s="56"/>
    </row>
    <row r="61" spans="1:9" ht="18" customHeight="1" x14ac:dyDescent="0.2">
      <c r="A61" s="82" t="s">
        <v>78</v>
      </c>
      <c r="B61" s="83" t="s">
        <v>456</v>
      </c>
      <c r="C61" s="98" t="s">
        <v>18</v>
      </c>
      <c r="D61" s="84" t="s">
        <v>75</v>
      </c>
      <c r="E61" s="84" t="s">
        <v>41</v>
      </c>
      <c r="F61" s="85" t="s">
        <v>29</v>
      </c>
      <c r="G61" s="86"/>
      <c r="H61" s="87" t="s">
        <v>457</v>
      </c>
      <c r="I61" s="88" t="s">
        <v>471</v>
      </c>
    </row>
    <row r="62" spans="1:9" ht="18" customHeight="1" x14ac:dyDescent="0.2">
      <c r="A62" s="79" t="s">
        <v>392</v>
      </c>
      <c r="B62" s="35" t="s">
        <v>456</v>
      </c>
      <c r="C62" s="80" t="s">
        <v>16</v>
      </c>
      <c r="D62" s="28" t="s">
        <v>391</v>
      </c>
      <c r="E62" s="28" t="s">
        <v>43</v>
      </c>
      <c r="F62" s="29" t="s">
        <v>29</v>
      </c>
      <c r="G62" s="25"/>
      <c r="H62" s="81" t="s">
        <v>457</v>
      </c>
      <c r="I62" s="56"/>
    </row>
    <row r="63" spans="1:9" ht="18" customHeight="1" x14ac:dyDescent="0.2">
      <c r="A63" s="82" t="s">
        <v>398</v>
      </c>
      <c r="B63" s="83" t="s">
        <v>456</v>
      </c>
      <c r="C63" s="80" t="s">
        <v>16</v>
      </c>
      <c r="D63" s="84" t="s">
        <v>397</v>
      </c>
      <c r="E63" s="84" t="s">
        <v>43</v>
      </c>
      <c r="F63" s="85" t="s">
        <v>29</v>
      </c>
      <c r="G63" s="86"/>
      <c r="H63" s="87" t="s">
        <v>457</v>
      </c>
      <c r="I63" s="88"/>
    </row>
    <row r="64" spans="1:9" ht="18" customHeight="1" x14ac:dyDescent="0.2">
      <c r="A64" s="79" t="s">
        <v>129</v>
      </c>
      <c r="B64" s="35" t="s">
        <v>456</v>
      </c>
      <c r="C64" s="80" t="s">
        <v>16</v>
      </c>
      <c r="D64" s="28" t="s">
        <v>128</v>
      </c>
      <c r="E64" s="28" t="s">
        <v>24</v>
      </c>
      <c r="F64" s="29" t="s">
        <v>23</v>
      </c>
      <c r="G64" s="25"/>
      <c r="H64" s="81" t="s">
        <v>457</v>
      </c>
      <c r="I64" s="56"/>
    </row>
    <row r="65" spans="1:9" ht="18" customHeight="1" x14ac:dyDescent="0.2">
      <c r="A65" s="82" t="s">
        <v>135</v>
      </c>
      <c r="B65" s="83" t="s">
        <v>456</v>
      </c>
      <c r="C65" s="80" t="s">
        <v>16</v>
      </c>
      <c r="D65" s="84" t="s">
        <v>134</v>
      </c>
      <c r="E65" s="84" t="s">
        <v>24</v>
      </c>
      <c r="F65" s="85" t="s">
        <v>23</v>
      </c>
      <c r="G65" s="86"/>
      <c r="H65" s="87" t="s">
        <v>457</v>
      </c>
      <c r="I65" s="88"/>
    </row>
    <row r="66" spans="1:9" ht="18" customHeight="1" x14ac:dyDescent="0.2">
      <c r="A66" s="79" t="s">
        <v>421</v>
      </c>
      <c r="B66" s="35" t="s">
        <v>456</v>
      </c>
      <c r="C66" s="80" t="s">
        <v>16</v>
      </c>
      <c r="D66" s="28" t="s">
        <v>420</v>
      </c>
      <c r="E66" s="28" t="s">
        <v>44</v>
      </c>
      <c r="F66" s="29" t="s">
        <v>31</v>
      </c>
      <c r="G66" s="25"/>
      <c r="H66" s="81" t="s">
        <v>457</v>
      </c>
      <c r="I66" s="56" t="s">
        <v>472</v>
      </c>
    </row>
    <row r="67" spans="1:9" ht="18" customHeight="1" x14ac:dyDescent="0.2">
      <c r="A67" s="82" t="s">
        <v>126</v>
      </c>
      <c r="B67" s="83" t="s">
        <v>456</v>
      </c>
      <c r="C67" s="80" t="s">
        <v>16</v>
      </c>
      <c r="D67" s="84" t="s">
        <v>125</v>
      </c>
      <c r="E67" s="84" t="s">
        <v>24</v>
      </c>
      <c r="F67" s="85" t="s">
        <v>23</v>
      </c>
      <c r="G67" s="86"/>
      <c r="H67" s="87" t="s">
        <v>457</v>
      </c>
      <c r="I67" s="88"/>
    </row>
    <row r="68" spans="1:9" ht="18" customHeight="1" x14ac:dyDescent="0.2">
      <c r="A68" s="79" t="s">
        <v>120</v>
      </c>
      <c r="B68" s="35" t="s">
        <v>456</v>
      </c>
      <c r="C68" s="80" t="s">
        <v>16</v>
      </c>
      <c r="D68" s="28" t="s">
        <v>119</v>
      </c>
      <c r="E68" s="28" t="s">
        <v>24</v>
      </c>
      <c r="F68" s="29" t="s">
        <v>23</v>
      </c>
      <c r="G68" s="25"/>
      <c r="H68" s="81" t="s">
        <v>457</v>
      </c>
      <c r="I68" s="56"/>
    </row>
    <row r="69" spans="1:9" ht="18" customHeight="1" x14ac:dyDescent="0.2">
      <c r="A69" s="82" t="s">
        <v>132</v>
      </c>
      <c r="B69" s="83" t="s">
        <v>456</v>
      </c>
      <c r="C69" s="80" t="s">
        <v>16</v>
      </c>
      <c r="D69" s="84" t="s">
        <v>131</v>
      </c>
      <c r="E69" s="84" t="s">
        <v>24</v>
      </c>
      <c r="F69" s="85" t="s">
        <v>23</v>
      </c>
      <c r="G69" s="86"/>
      <c r="H69" s="87" t="s">
        <v>457</v>
      </c>
      <c r="I69" s="88"/>
    </row>
    <row r="70" spans="1:9" ht="18" customHeight="1" x14ac:dyDescent="0.2">
      <c r="A70" s="79" t="s">
        <v>473</v>
      </c>
      <c r="B70" s="35" t="s">
        <v>456</v>
      </c>
      <c r="C70" s="89" t="s">
        <v>17</v>
      </c>
      <c r="D70" s="28" t="s">
        <v>474</v>
      </c>
      <c r="E70" s="28"/>
      <c r="F70" s="29" t="s">
        <v>29</v>
      </c>
      <c r="G70" s="25"/>
      <c r="H70" s="81" t="s">
        <v>457</v>
      </c>
      <c r="I70" s="56"/>
    </row>
    <row r="71" spans="1:9" ht="18" customHeight="1" x14ac:dyDescent="0.2">
      <c r="A71" s="82" t="s">
        <v>475</v>
      </c>
      <c r="B71" s="83" t="s">
        <v>456</v>
      </c>
      <c r="C71" s="89" t="s">
        <v>17</v>
      </c>
      <c r="D71" s="84" t="s">
        <v>474</v>
      </c>
      <c r="E71" s="84"/>
      <c r="F71" s="85" t="s">
        <v>29</v>
      </c>
      <c r="G71" s="86"/>
      <c r="H71" s="87" t="s">
        <v>457</v>
      </c>
      <c r="I71" s="88"/>
    </row>
    <row r="72" spans="1:9" ht="18" customHeight="1" x14ac:dyDescent="0.2">
      <c r="A72" s="79" t="s">
        <v>476</v>
      </c>
      <c r="B72" s="35" t="s">
        <v>456</v>
      </c>
      <c r="C72" s="89" t="s">
        <v>17</v>
      </c>
      <c r="D72" s="28" t="s">
        <v>474</v>
      </c>
      <c r="E72" s="28"/>
      <c r="F72" s="29" t="s">
        <v>29</v>
      </c>
      <c r="G72" s="25"/>
      <c r="H72" s="81" t="s">
        <v>457</v>
      </c>
      <c r="I72" s="56"/>
    </row>
    <row r="73" spans="1:9" ht="18" customHeight="1" x14ac:dyDescent="0.2">
      <c r="A73" s="82" t="s">
        <v>477</v>
      </c>
      <c r="B73" s="83" t="s">
        <v>456</v>
      </c>
      <c r="C73" s="80" t="s">
        <v>16</v>
      </c>
      <c r="D73" s="84" t="s">
        <v>478</v>
      </c>
      <c r="E73" s="84"/>
      <c r="F73" s="85" t="s">
        <v>29</v>
      </c>
      <c r="G73" s="86"/>
      <c r="H73" s="87" t="s">
        <v>457</v>
      </c>
      <c r="I73" s="88" t="s">
        <v>479</v>
      </c>
    </row>
    <row r="74" spans="1:9" ht="18" customHeight="1" x14ac:dyDescent="0.2">
      <c r="A74" s="79" t="s">
        <v>480</v>
      </c>
      <c r="B74" s="35" t="s">
        <v>456</v>
      </c>
      <c r="C74" s="80" t="s">
        <v>16</v>
      </c>
      <c r="D74" s="28" t="s">
        <v>481</v>
      </c>
      <c r="E74" s="28"/>
      <c r="F74" s="29" t="s">
        <v>29</v>
      </c>
      <c r="G74" s="25"/>
      <c r="H74" s="81" t="s">
        <v>457</v>
      </c>
      <c r="I74" s="56" t="s">
        <v>479</v>
      </c>
    </row>
    <row r="75" spans="1:9" ht="18" customHeight="1" x14ac:dyDescent="0.2">
      <c r="A75" s="82" t="s">
        <v>482</v>
      </c>
      <c r="B75" s="83" t="s">
        <v>456</v>
      </c>
      <c r="C75" s="89" t="s">
        <v>17</v>
      </c>
      <c r="D75" s="84" t="s">
        <v>474</v>
      </c>
      <c r="E75" s="84"/>
      <c r="F75" s="85" t="s">
        <v>29</v>
      </c>
      <c r="G75" s="86"/>
      <c r="H75" s="87" t="s">
        <v>457</v>
      </c>
      <c r="I75" s="88"/>
    </row>
    <row r="76" spans="1:9" ht="18" customHeight="1" x14ac:dyDescent="0.2">
      <c r="A76" s="79" t="s">
        <v>483</v>
      </c>
      <c r="B76" s="35" t="s">
        <v>456</v>
      </c>
      <c r="C76" s="89" t="s">
        <v>17</v>
      </c>
      <c r="D76" s="28" t="s">
        <v>474</v>
      </c>
      <c r="E76" s="28"/>
      <c r="F76" s="29" t="s">
        <v>29</v>
      </c>
      <c r="G76" s="25"/>
      <c r="H76" s="81" t="s">
        <v>457</v>
      </c>
      <c r="I76" s="56"/>
    </row>
    <row r="77" spans="1:9" ht="18" customHeight="1" x14ac:dyDescent="0.2">
      <c r="A77" s="82" t="s">
        <v>484</v>
      </c>
      <c r="B77" s="83" t="s">
        <v>456</v>
      </c>
      <c r="C77" s="89" t="s">
        <v>17</v>
      </c>
      <c r="D77" s="84" t="s">
        <v>474</v>
      </c>
      <c r="E77" s="84"/>
      <c r="F77" s="85" t="s">
        <v>29</v>
      </c>
      <c r="G77" s="86"/>
      <c r="H77" s="87" t="s">
        <v>457</v>
      </c>
      <c r="I77" s="88"/>
    </row>
    <row r="78" spans="1:9" ht="18" customHeight="1" x14ac:dyDescent="0.2">
      <c r="A78" s="79" t="s">
        <v>485</v>
      </c>
      <c r="B78" s="35" t="s">
        <v>456</v>
      </c>
      <c r="C78" s="89" t="s">
        <v>17</v>
      </c>
      <c r="D78" s="28" t="s">
        <v>474</v>
      </c>
      <c r="E78" s="28"/>
      <c r="F78" s="29" t="s">
        <v>29</v>
      </c>
      <c r="G78" s="25"/>
      <c r="H78" s="81" t="s">
        <v>457</v>
      </c>
      <c r="I78" s="56"/>
    </row>
    <row r="79" spans="1:9" ht="18" customHeight="1" x14ac:dyDescent="0.2">
      <c r="A79" s="82" t="s">
        <v>486</v>
      </c>
      <c r="B79" s="83" t="s">
        <v>456</v>
      </c>
      <c r="C79" s="89" t="s">
        <v>17</v>
      </c>
      <c r="D79" s="84" t="s">
        <v>474</v>
      </c>
      <c r="E79" s="84"/>
      <c r="F79" s="85" t="s">
        <v>29</v>
      </c>
      <c r="G79" s="86"/>
      <c r="H79" s="87" t="s">
        <v>457</v>
      </c>
      <c r="I79" s="88"/>
    </row>
    <row r="80" spans="1:9" ht="18" customHeight="1" x14ac:dyDescent="0.2">
      <c r="A80" s="79" t="s">
        <v>336</v>
      </c>
      <c r="B80" s="99" t="s">
        <v>487</v>
      </c>
      <c r="C80" s="80" t="s">
        <v>16</v>
      </c>
      <c r="D80" s="28" t="s">
        <v>40</v>
      </c>
      <c r="E80" s="28" t="s">
        <v>40</v>
      </c>
      <c r="F80" s="29" t="s">
        <v>29</v>
      </c>
      <c r="G80" s="100">
        <v>46169</v>
      </c>
      <c r="H80" s="29">
        <v>11</v>
      </c>
      <c r="I80" s="56"/>
    </row>
    <row r="81" spans="1:9" ht="18" customHeight="1" x14ac:dyDescent="0.2">
      <c r="A81" s="82" t="s">
        <v>371</v>
      </c>
      <c r="B81" s="101" t="s">
        <v>487</v>
      </c>
      <c r="C81" s="102" t="s">
        <v>5</v>
      </c>
      <c r="D81" s="84" t="s">
        <v>370</v>
      </c>
      <c r="E81" s="84" t="s">
        <v>488</v>
      </c>
      <c r="F81" s="85" t="s">
        <v>29</v>
      </c>
      <c r="G81" s="103">
        <v>46169</v>
      </c>
      <c r="H81" s="85">
        <v>11</v>
      </c>
      <c r="I81" s="88" t="s">
        <v>489</v>
      </c>
    </row>
    <row r="82" spans="1:9" ht="18" customHeight="1" x14ac:dyDescent="0.2">
      <c r="A82" s="79" t="s">
        <v>375</v>
      </c>
      <c r="B82" s="99" t="s">
        <v>487</v>
      </c>
      <c r="C82" s="102" t="s">
        <v>5</v>
      </c>
      <c r="D82" s="28" t="s">
        <v>374</v>
      </c>
      <c r="E82" s="28" t="s">
        <v>488</v>
      </c>
      <c r="F82" s="29" t="s">
        <v>29</v>
      </c>
      <c r="G82" s="100">
        <v>46169</v>
      </c>
      <c r="H82" s="29">
        <v>11</v>
      </c>
      <c r="I82" s="56" t="s">
        <v>489</v>
      </c>
    </row>
    <row r="83" spans="1:9" ht="18" customHeight="1" x14ac:dyDescent="0.2">
      <c r="A83" s="82" t="s">
        <v>384</v>
      </c>
      <c r="B83" s="101" t="s">
        <v>487</v>
      </c>
      <c r="C83" s="80" t="s">
        <v>16</v>
      </c>
      <c r="D83" s="84" t="s">
        <v>383</v>
      </c>
      <c r="E83" s="84" t="s">
        <v>488</v>
      </c>
      <c r="F83" s="85" t="s">
        <v>29</v>
      </c>
      <c r="G83" s="103">
        <v>46169</v>
      </c>
      <c r="H83" s="85">
        <v>11</v>
      </c>
      <c r="I83" s="88"/>
    </row>
    <row r="84" spans="1:9" ht="18" customHeight="1" x14ac:dyDescent="0.2">
      <c r="A84" s="79" t="s">
        <v>381</v>
      </c>
      <c r="B84" s="99" t="s">
        <v>487</v>
      </c>
      <c r="C84" s="102" t="s">
        <v>5</v>
      </c>
      <c r="D84" s="28" t="s">
        <v>380</v>
      </c>
      <c r="E84" s="28" t="s">
        <v>488</v>
      </c>
      <c r="F84" s="29" t="s">
        <v>29</v>
      </c>
      <c r="G84" s="100">
        <v>46169</v>
      </c>
      <c r="H84" s="29">
        <v>11</v>
      </c>
      <c r="I84" s="56" t="s">
        <v>489</v>
      </c>
    </row>
    <row r="85" spans="1:9" ht="18" customHeight="1" x14ac:dyDescent="0.2">
      <c r="A85" s="82" t="s">
        <v>378</v>
      </c>
      <c r="B85" s="101" t="s">
        <v>487</v>
      </c>
      <c r="C85" s="102" t="s">
        <v>5</v>
      </c>
      <c r="D85" s="84" t="s">
        <v>377</v>
      </c>
      <c r="E85" s="84" t="s">
        <v>488</v>
      </c>
      <c r="F85" s="85" t="s">
        <v>29</v>
      </c>
      <c r="G85" s="103">
        <v>46169</v>
      </c>
      <c r="H85" s="85">
        <v>11</v>
      </c>
      <c r="I85" s="88" t="s">
        <v>489</v>
      </c>
    </row>
    <row r="86" spans="1:9" ht="18" customHeight="1" x14ac:dyDescent="0.2">
      <c r="A86" s="79" t="s">
        <v>395</v>
      </c>
      <c r="B86" s="99" t="s">
        <v>487</v>
      </c>
      <c r="C86" s="102" t="s">
        <v>5</v>
      </c>
      <c r="D86" s="28" t="s">
        <v>394</v>
      </c>
      <c r="E86" s="28" t="s">
        <v>490</v>
      </c>
      <c r="F86" s="29" t="s">
        <v>29</v>
      </c>
      <c r="G86" s="100">
        <v>46174</v>
      </c>
      <c r="H86" s="29">
        <v>6</v>
      </c>
      <c r="I86" s="56" t="s">
        <v>489</v>
      </c>
    </row>
    <row r="87" spans="1:9" ht="18" customHeight="1" x14ac:dyDescent="0.2">
      <c r="A87" s="82" t="s">
        <v>386</v>
      </c>
      <c r="B87" s="101" t="s">
        <v>487</v>
      </c>
      <c r="C87" s="102" t="s">
        <v>5</v>
      </c>
      <c r="D87" s="84" t="s">
        <v>43</v>
      </c>
      <c r="E87" s="84" t="s">
        <v>490</v>
      </c>
      <c r="F87" s="85" t="s">
        <v>29</v>
      </c>
      <c r="G87" s="103">
        <v>46174</v>
      </c>
      <c r="H87" s="85">
        <v>6</v>
      </c>
      <c r="I87" s="88" t="s">
        <v>489</v>
      </c>
    </row>
    <row r="88" spans="1:9" ht="18" customHeight="1" x14ac:dyDescent="0.2">
      <c r="A88" s="79" t="s">
        <v>401</v>
      </c>
      <c r="B88" s="99" t="s">
        <v>487</v>
      </c>
      <c r="C88" s="102" t="s">
        <v>5</v>
      </c>
      <c r="D88" s="28" t="s">
        <v>400</v>
      </c>
      <c r="E88" s="28" t="s">
        <v>490</v>
      </c>
      <c r="F88" s="29" t="s">
        <v>29</v>
      </c>
      <c r="G88" s="100">
        <v>46174</v>
      </c>
      <c r="H88" s="29">
        <v>6</v>
      </c>
      <c r="I88" s="56" t="s">
        <v>489</v>
      </c>
    </row>
    <row r="89" spans="1:9" ht="18" customHeight="1" x14ac:dyDescent="0.2">
      <c r="A89" s="82" t="s">
        <v>404</v>
      </c>
      <c r="B89" s="101" t="s">
        <v>487</v>
      </c>
      <c r="C89" s="102" t="s">
        <v>5</v>
      </c>
      <c r="D89" s="84" t="s">
        <v>491</v>
      </c>
      <c r="E89" s="84" t="s">
        <v>490</v>
      </c>
      <c r="F89" s="85" t="s">
        <v>29</v>
      </c>
      <c r="G89" s="103">
        <v>46174</v>
      </c>
      <c r="H89" s="85">
        <v>6</v>
      </c>
      <c r="I89" s="88" t="s">
        <v>489</v>
      </c>
    </row>
    <row r="90" spans="1:9" ht="18" customHeight="1" x14ac:dyDescent="0.2">
      <c r="A90" s="79" t="s">
        <v>427</v>
      </c>
      <c r="B90" s="99" t="s">
        <v>487</v>
      </c>
      <c r="C90" s="102" t="s">
        <v>5</v>
      </c>
      <c r="D90" s="28" t="s">
        <v>426</v>
      </c>
      <c r="E90" s="28" t="s">
        <v>492</v>
      </c>
      <c r="F90" s="29" t="s">
        <v>33</v>
      </c>
      <c r="G90" s="100">
        <v>46175</v>
      </c>
      <c r="H90" s="29">
        <v>5</v>
      </c>
      <c r="I90" s="56" t="s">
        <v>493</v>
      </c>
    </row>
    <row r="91" spans="1:9" ht="18" customHeight="1" x14ac:dyDescent="0.2">
      <c r="A91" s="82" t="s">
        <v>431</v>
      </c>
      <c r="B91" s="101" t="s">
        <v>487</v>
      </c>
      <c r="C91" s="102" t="s">
        <v>5</v>
      </c>
      <c r="D91" s="84" t="s">
        <v>430</v>
      </c>
      <c r="E91" s="84" t="s">
        <v>492</v>
      </c>
      <c r="F91" s="85" t="s">
        <v>33</v>
      </c>
      <c r="G91" s="103">
        <v>46175</v>
      </c>
      <c r="H91" s="85">
        <v>5</v>
      </c>
      <c r="I91" s="88" t="s">
        <v>493</v>
      </c>
    </row>
    <row r="92" spans="1:9" ht="18" customHeight="1" x14ac:dyDescent="0.2">
      <c r="A92" s="79" t="s">
        <v>434</v>
      </c>
      <c r="B92" s="99" t="s">
        <v>487</v>
      </c>
      <c r="C92" s="102" t="s">
        <v>5</v>
      </c>
      <c r="D92" s="28" t="s">
        <v>433</v>
      </c>
      <c r="E92" s="28" t="s">
        <v>492</v>
      </c>
      <c r="F92" s="29" t="s">
        <v>33</v>
      </c>
      <c r="G92" s="100">
        <v>46175</v>
      </c>
      <c r="H92" s="29">
        <v>5</v>
      </c>
      <c r="I92" s="56" t="s">
        <v>493</v>
      </c>
    </row>
    <row r="93" spans="1:9" ht="18" customHeight="1" x14ac:dyDescent="0.2">
      <c r="A93" s="82" t="s">
        <v>439</v>
      </c>
      <c r="B93" s="101" t="s">
        <v>487</v>
      </c>
      <c r="C93" s="102" t="s">
        <v>5</v>
      </c>
      <c r="D93" s="84" t="s">
        <v>438</v>
      </c>
      <c r="E93" s="84" t="s">
        <v>492</v>
      </c>
      <c r="F93" s="85" t="s">
        <v>33</v>
      </c>
      <c r="G93" s="103">
        <v>46175</v>
      </c>
      <c r="H93" s="85">
        <v>5</v>
      </c>
      <c r="I93" s="88" t="s">
        <v>493</v>
      </c>
    </row>
    <row r="94" spans="1:9" ht="18" customHeight="1" x14ac:dyDescent="0.2">
      <c r="A94" s="79" t="s">
        <v>442</v>
      </c>
      <c r="B94" s="99" t="s">
        <v>487</v>
      </c>
      <c r="C94" s="102" t="s">
        <v>5</v>
      </c>
      <c r="D94" s="28" t="s">
        <v>441</v>
      </c>
      <c r="E94" s="28" t="s">
        <v>492</v>
      </c>
      <c r="F94" s="29" t="s">
        <v>33</v>
      </c>
      <c r="G94" s="100">
        <v>46175</v>
      </c>
      <c r="H94" s="29">
        <v>5</v>
      </c>
      <c r="I94" s="56" t="s">
        <v>493</v>
      </c>
    </row>
    <row r="95" spans="1:9" ht="18" customHeight="1" x14ac:dyDescent="0.2">
      <c r="A95" s="82" t="s">
        <v>449</v>
      </c>
      <c r="B95" s="101" t="s">
        <v>487</v>
      </c>
      <c r="C95" s="102" t="s">
        <v>5</v>
      </c>
      <c r="D95" s="84" t="s">
        <v>448</v>
      </c>
      <c r="E95" s="84" t="s">
        <v>492</v>
      </c>
      <c r="F95" s="85" t="s">
        <v>33</v>
      </c>
      <c r="G95" s="103">
        <v>46175</v>
      </c>
      <c r="H95" s="85">
        <v>5</v>
      </c>
      <c r="I95" s="88" t="s">
        <v>493</v>
      </c>
    </row>
    <row r="96" spans="1:9" ht="18" customHeight="1" x14ac:dyDescent="0.2">
      <c r="A96" s="79" t="s">
        <v>423</v>
      </c>
      <c r="B96" s="99" t="s">
        <v>487</v>
      </c>
      <c r="C96" s="102" t="s">
        <v>5</v>
      </c>
      <c r="D96" s="28" t="s">
        <v>45</v>
      </c>
      <c r="E96" s="28" t="s">
        <v>492</v>
      </c>
      <c r="F96" s="29" t="s">
        <v>33</v>
      </c>
      <c r="G96" s="100">
        <v>46175</v>
      </c>
      <c r="H96" s="29">
        <v>5</v>
      </c>
      <c r="I96" s="56" t="s">
        <v>493</v>
      </c>
    </row>
    <row r="97" spans="1:9" ht="18" customHeight="1" x14ac:dyDescent="0.2">
      <c r="A97" s="82" t="s">
        <v>494</v>
      </c>
      <c r="B97" s="101" t="s">
        <v>487</v>
      </c>
      <c r="C97" s="102" t="s">
        <v>5</v>
      </c>
      <c r="D97" s="84" t="s">
        <v>5</v>
      </c>
      <c r="E97" s="84" t="s">
        <v>38</v>
      </c>
      <c r="F97" s="85" t="s">
        <v>25</v>
      </c>
      <c r="G97" s="103">
        <v>46176</v>
      </c>
      <c r="H97" s="85">
        <v>4</v>
      </c>
      <c r="I97" s="88"/>
    </row>
    <row r="98" spans="1:9" ht="18" customHeight="1" x14ac:dyDescent="0.2">
      <c r="A98" s="79" t="s">
        <v>495</v>
      </c>
      <c r="B98" s="99" t="s">
        <v>487</v>
      </c>
      <c r="C98" s="102" t="s">
        <v>5</v>
      </c>
      <c r="D98" s="28" t="s">
        <v>5</v>
      </c>
      <c r="E98" s="28" t="s">
        <v>38</v>
      </c>
      <c r="F98" s="29" t="s">
        <v>25</v>
      </c>
      <c r="G98" s="100">
        <v>46176</v>
      </c>
      <c r="H98" s="29">
        <v>4</v>
      </c>
      <c r="I98" s="56"/>
    </row>
    <row r="99" spans="1:9" ht="18" customHeight="1" x14ac:dyDescent="0.2">
      <c r="A99" s="82" t="s">
        <v>496</v>
      </c>
      <c r="B99" s="101" t="s">
        <v>487</v>
      </c>
      <c r="C99" s="102" t="s">
        <v>5</v>
      </c>
      <c r="D99" s="84" t="s">
        <v>5</v>
      </c>
      <c r="E99" s="84" t="s">
        <v>38</v>
      </c>
      <c r="F99" s="85" t="s">
        <v>25</v>
      </c>
      <c r="G99" s="103">
        <v>46176</v>
      </c>
      <c r="H99" s="85">
        <v>4</v>
      </c>
      <c r="I99" s="88"/>
    </row>
    <row r="100" spans="1:9" ht="18" customHeight="1" x14ac:dyDescent="0.2">
      <c r="A100" s="79" t="s">
        <v>497</v>
      </c>
      <c r="B100" s="99" t="s">
        <v>487</v>
      </c>
      <c r="C100" s="102" t="s">
        <v>5</v>
      </c>
      <c r="D100" s="28" t="s">
        <v>5</v>
      </c>
      <c r="E100" s="28" t="s">
        <v>38</v>
      </c>
      <c r="F100" s="29" t="s">
        <v>25</v>
      </c>
      <c r="G100" s="100">
        <v>46176</v>
      </c>
      <c r="H100" s="29">
        <v>4</v>
      </c>
      <c r="I100" s="56"/>
    </row>
    <row r="101" spans="1:9" ht="18" customHeight="1" x14ac:dyDescent="0.2">
      <c r="A101" s="82" t="s">
        <v>498</v>
      </c>
      <c r="B101" s="101" t="s">
        <v>487</v>
      </c>
      <c r="C101" s="102" t="s">
        <v>5</v>
      </c>
      <c r="D101" s="84" t="s">
        <v>5</v>
      </c>
      <c r="E101" s="84" t="s">
        <v>38</v>
      </c>
      <c r="F101" s="85" t="s">
        <v>25</v>
      </c>
      <c r="G101" s="103">
        <v>46176</v>
      </c>
      <c r="H101" s="85">
        <v>4</v>
      </c>
      <c r="I101" s="88"/>
    </row>
    <row r="102" spans="1:9" ht="18" customHeight="1" x14ac:dyDescent="0.2">
      <c r="A102" s="79" t="s">
        <v>499</v>
      </c>
      <c r="B102" s="99" t="s">
        <v>487</v>
      </c>
      <c r="C102" s="102" t="s">
        <v>5</v>
      </c>
      <c r="D102" s="28" t="s">
        <v>5</v>
      </c>
      <c r="E102" s="28" t="s">
        <v>38</v>
      </c>
      <c r="F102" s="29" t="s">
        <v>25</v>
      </c>
      <c r="G102" s="100">
        <v>46176</v>
      </c>
      <c r="H102" s="29">
        <v>4</v>
      </c>
      <c r="I102" s="56"/>
    </row>
    <row r="103" spans="1:9" ht="18" customHeight="1" x14ac:dyDescent="0.2">
      <c r="A103" s="82" t="s">
        <v>500</v>
      </c>
      <c r="B103" s="101" t="s">
        <v>487</v>
      </c>
      <c r="C103" s="102" t="s">
        <v>5</v>
      </c>
      <c r="D103" s="84" t="s">
        <v>5</v>
      </c>
      <c r="E103" s="84" t="s">
        <v>38</v>
      </c>
      <c r="F103" s="85" t="s">
        <v>25</v>
      </c>
      <c r="G103" s="103">
        <v>46176</v>
      </c>
      <c r="H103" s="85">
        <v>4</v>
      </c>
      <c r="I103" s="88"/>
    </row>
    <row r="104" spans="1:9" ht="18" customHeight="1" x14ac:dyDescent="0.2">
      <c r="A104" s="79" t="s">
        <v>501</v>
      </c>
      <c r="B104" s="99" t="s">
        <v>487</v>
      </c>
      <c r="C104" s="102" t="s">
        <v>5</v>
      </c>
      <c r="D104" s="28" t="s">
        <v>5</v>
      </c>
      <c r="E104" s="28" t="s">
        <v>38</v>
      </c>
      <c r="F104" s="29" t="s">
        <v>25</v>
      </c>
      <c r="G104" s="100">
        <v>46176</v>
      </c>
      <c r="H104" s="29">
        <v>4</v>
      </c>
      <c r="I104" s="56"/>
    </row>
    <row r="105" spans="1:9" ht="18" customHeight="1" x14ac:dyDescent="0.2">
      <c r="A105" s="82" t="s">
        <v>502</v>
      </c>
      <c r="B105" s="101" t="s">
        <v>487</v>
      </c>
      <c r="C105" s="102" t="s">
        <v>5</v>
      </c>
      <c r="D105" s="84" t="s">
        <v>5</v>
      </c>
      <c r="E105" s="84" t="s">
        <v>38</v>
      </c>
      <c r="F105" s="85" t="s">
        <v>25</v>
      </c>
      <c r="G105" s="103">
        <v>46176</v>
      </c>
      <c r="H105" s="85">
        <v>4</v>
      </c>
      <c r="I105" s="88"/>
    </row>
    <row r="106" spans="1:9" ht="18" customHeight="1" x14ac:dyDescent="0.2">
      <c r="A106" s="79" t="s">
        <v>503</v>
      </c>
      <c r="B106" s="99" t="s">
        <v>487</v>
      </c>
      <c r="C106" s="102" t="s">
        <v>5</v>
      </c>
      <c r="D106" s="28" t="s">
        <v>5</v>
      </c>
      <c r="E106" s="28" t="s">
        <v>38</v>
      </c>
      <c r="F106" s="29" t="s">
        <v>25</v>
      </c>
      <c r="G106" s="100">
        <v>46176</v>
      </c>
      <c r="H106" s="29">
        <v>4</v>
      </c>
      <c r="I106" s="56"/>
    </row>
    <row r="107" spans="1:9" ht="18" customHeight="1" x14ac:dyDescent="0.2">
      <c r="A107" s="82" t="s">
        <v>504</v>
      </c>
      <c r="B107" s="101" t="s">
        <v>487</v>
      </c>
      <c r="C107" s="102" t="s">
        <v>5</v>
      </c>
      <c r="D107" s="84" t="s">
        <v>5</v>
      </c>
      <c r="E107" s="84" t="s">
        <v>28</v>
      </c>
      <c r="F107" s="85" t="s">
        <v>23</v>
      </c>
      <c r="G107" s="103">
        <v>46176</v>
      </c>
      <c r="H107" s="85">
        <v>4</v>
      </c>
      <c r="I107" s="88"/>
    </row>
    <row r="108" spans="1:9" ht="18" customHeight="1" x14ac:dyDescent="0.2">
      <c r="A108" s="79" t="s">
        <v>505</v>
      </c>
      <c r="B108" s="99" t="s">
        <v>487</v>
      </c>
      <c r="C108" s="102" t="s">
        <v>5</v>
      </c>
      <c r="D108" s="28" t="s">
        <v>5</v>
      </c>
      <c r="E108" s="28" t="s">
        <v>28</v>
      </c>
      <c r="F108" s="29" t="s">
        <v>23</v>
      </c>
      <c r="G108" s="100">
        <v>46176</v>
      </c>
      <c r="H108" s="29">
        <v>4</v>
      </c>
      <c r="I108" s="56"/>
    </row>
    <row r="109" spans="1:9" ht="18" customHeight="1" x14ac:dyDescent="0.2">
      <c r="A109" s="82" t="s">
        <v>506</v>
      </c>
      <c r="B109" s="101" t="s">
        <v>487</v>
      </c>
      <c r="C109" s="102" t="s">
        <v>5</v>
      </c>
      <c r="D109" s="84" t="s">
        <v>5</v>
      </c>
      <c r="E109" s="84" t="s">
        <v>28</v>
      </c>
      <c r="F109" s="85" t="s">
        <v>23</v>
      </c>
      <c r="G109" s="103">
        <v>46176</v>
      </c>
      <c r="H109" s="85">
        <v>4</v>
      </c>
      <c r="I109" s="88"/>
    </row>
    <row r="110" spans="1:9" ht="18" customHeight="1" x14ac:dyDescent="0.2">
      <c r="A110" s="79" t="s">
        <v>507</v>
      </c>
      <c r="B110" s="99" t="s">
        <v>487</v>
      </c>
      <c r="C110" s="102" t="s">
        <v>5</v>
      </c>
      <c r="D110" s="28" t="s">
        <v>5</v>
      </c>
      <c r="E110" s="28" t="s">
        <v>28</v>
      </c>
      <c r="F110" s="29" t="s">
        <v>23</v>
      </c>
      <c r="G110" s="100">
        <v>46176</v>
      </c>
      <c r="H110" s="29">
        <v>4</v>
      </c>
      <c r="I110" s="56"/>
    </row>
    <row r="111" spans="1:9" ht="18" customHeight="1" x14ac:dyDescent="0.2">
      <c r="A111" s="82" t="s">
        <v>508</v>
      </c>
      <c r="B111" s="101" t="s">
        <v>487</v>
      </c>
      <c r="C111" s="102" t="s">
        <v>5</v>
      </c>
      <c r="D111" s="84" t="s">
        <v>5</v>
      </c>
      <c r="E111" s="84" t="s">
        <v>28</v>
      </c>
      <c r="F111" s="85" t="s">
        <v>23</v>
      </c>
      <c r="G111" s="103">
        <v>46176</v>
      </c>
      <c r="H111" s="85">
        <v>4</v>
      </c>
      <c r="I111" s="88"/>
    </row>
    <row r="112" spans="1:9" ht="18" customHeight="1" x14ac:dyDescent="0.2">
      <c r="A112" s="79" t="s">
        <v>509</v>
      </c>
      <c r="B112" s="99" t="s">
        <v>487</v>
      </c>
      <c r="C112" s="102" t="s">
        <v>5</v>
      </c>
      <c r="D112" s="28" t="s">
        <v>5</v>
      </c>
      <c r="E112" s="28" t="s">
        <v>28</v>
      </c>
      <c r="F112" s="29" t="s">
        <v>23</v>
      </c>
      <c r="G112" s="100">
        <v>46176</v>
      </c>
      <c r="H112" s="29">
        <v>4</v>
      </c>
      <c r="I112" s="56"/>
    </row>
    <row r="113" spans="1:9" ht="18" customHeight="1" x14ac:dyDescent="0.2">
      <c r="A113" s="82" t="s">
        <v>510</v>
      </c>
      <c r="B113" s="101" t="s">
        <v>487</v>
      </c>
      <c r="C113" s="102" t="s">
        <v>5</v>
      </c>
      <c r="D113" s="84" t="s">
        <v>5</v>
      </c>
      <c r="E113" s="84" t="s">
        <v>28</v>
      </c>
      <c r="F113" s="85" t="s">
        <v>23</v>
      </c>
      <c r="G113" s="103">
        <v>46176</v>
      </c>
      <c r="H113" s="85">
        <v>4</v>
      </c>
      <c r="I113" s="88"/>
    </row>
    <row r="114" spans="1:9" ht="18" customHeight="1" x14ac:dyDescent="0.2">
      <c r="A114" s="79" t="s">
        <v>511</v>
      </c>
      <c r="B114" s="99" t="s">
        <v>487</v>
      </c>
      <c r="C114" s="102" t="s">
        <v>5</v>
      </c>
      <c r="D114" s="28" t="s">
        <v>5</v>
      </c>
      <c r="E114" s="28" t="s">
        <v>28</v>
      </c>
      <c r="F114" s="29" t="s">
        <v>23</v>
      </c>
      <c r="G114" s="100">
        <v>46176</v>
      </c>
      <c r="H114" s="29">
        <v>4</v>
      </c>
      <c r="I114" s="56"/>
    </row>
    <row r="115" spans="1:9" ht="18" customHeight="1" x14ac:dyDescent="0.2">
      <c r="A115" s="82" t="s">
        <v>512</v>
      </c>
      <c r="B115" s="101" t="s">
        <v>487</v>
      </c>
      <c r="C115" s="102" t="s">
        <v>5</v>
      </c>
      <c r="D115" s="84" t="s">
        <v>5</v>
      </c>
      <c r="E115" s="84" t="s">
        <v>28</v>
      </c>
      <c r="F115" s="85" t="s">
        <v>23</v>
      </c>
      <c r="G115" s="103">
        <v>46176</v>
      </c>
      <c r="H115" s="85">
        <v>4</v>
      </c>
      <c r="I115" s="88"/>
    </row>
    <row r="116" spans="1:9" ht="18" customHeight="1" x14ac:dyDescent="0.2">
      <c r="A116" s="79" t="s">
        <v>513</v>
      </c>
      <c r="B116" s="99" t="s">
        <v>487</v>
      </c>
      <c r="C116" s="102" t="s">
        <v>5</v>
      </c>
      <c r="D116" s="28" t="s">
        <v>5</v>
      </c>
      <c r="E116" s="28" t="s">
        <v>28</v>
      </c>
      <c r="F116" s="29" t="s">
        <v>23</v>
      </c>
      <c r="G116" s="100">
        <v>46176</v>
      </c>
      <c r="H116" s="29">
        <v>4</v>
      </c>
      <c r="I116" s="56"/>
    </row>
    <row r="117" spans="1:9" ht="18" customHeight="1" x14ac:dyDescent="0.2">
      <c r="A117" s="82" t="s">
        <v>202</v>
      </c>
      <c r="B117" s="101" t="s">
        <v>487</v>
      </c>
      <c r="C117" s="80" t="s">
        <v>16</v>
      </c>
      <c r="D117" s="84" t="s">
        <v>201</v>
      </c>
      <c r="E117" s="84" t="s">
        <v>32</v>
      </c>
      <c r="F117" s="85" t="s">
        <v>25</v>
      </c>
      <c r="G117" s="103">
        <v>46176</v>
      </c>
      <c r="H117" s="85">
        <v>4</v>
      </c>
      <c r="I117" s="88"/>
    </row>
    <row r="118" spans="1:9" ht="18" customHeight="1" x14ac:dyDescent="0.2">
      <c r="A118" s="79" t="s">
        <v>196</v>
      </c>
      <c r="B118" s="99" t="s">
        <v>487</v>
      </c>
      <c r="C118" s="80" t="s">
        <v>16</v>
      </c>
      <c r="D118" s="28" t="s">
        <v>32</v>
      </c>
      <c r="E118" s="28" t="s">
        <v>32</v>
      </c>
      <c r="F118" s="29" t="s">
        <v>25</v>
      </c>
      <c r="G118" s="100">
        <v>46176</v>
      </c>
      <c r="H118" s="29">
        <v>4</v>
      </c>
      <c r="I118" s="56"/>
    </row>
    <row r="119" spans="1:9" ht="18" customHeight="1" x14ac:dyDescent="0.2">
      <c r="A119" s="82" t="s">
        <v>54</v>
      </c>
      <c r="B119" s="101" t="s">
        <v>487</v>
      </c>
      <c r="C119" s="80" t="s">
        <v>16</v>
      </c>
      <c r="D119" s="84" t="s">
        <v>55</v>
      </c>
      <c r="E119" s="84" t="s">
        <v>34</v>
      </c>
      <c r="F119" s="85" t="s">
        <v>25</v>
      </c>
      <c r="G119" s="103">
        <v>46176</v>
      </c>
      <c r="H119" s="85">
        <v>4</v>
      </c>
      <c r="I119" s="88"/>
    </row>
    <row r="120" spans="1:9" ht="18" customHeight="1" x14ac:dyDescent="0.2">
      <c r="A120" s="79" t="s">
        <v>57</v>
      </c>
      <c r="B120" s="99" t="s">
        <v>487</v>
      </c>
      <c r="C120" s="80" t="s">
        <v>16</v>
      </c>
      <c r="D120" s="28" t="s">
        <v>37</v>
      </c>
      <c r="E120" s="28" t="s">
        <v>37</v>
      </c>
      <c r="F120" s="29" t="s">
        <v>25</v>
      </c>
      <c r="G120" s="100">
        <v>46176</v>
      </c>
      <c r="H120" s="29">
        <v>4</v>
      </c>
      <c r="I120" s="56"/>
    </row>
    <row r="121" spans="1:9" ht="18" customHeight="1" x14ac:dyDescent="0.2">
      <c r="A121" s="82" t="s">
        <v>59</v>
      </c>
      <c r="B121" s="101" t="s">
        <v>487</v>
      </c>
      <c r="C121" s="80" t="s">
        <v>16</v>
      </c>
      <c r="D121" s="84" t="s">
        <v>60</v>
      </c>
      <c r="E121" s="84" t="s">
        <v>37</v>
      </c>
      <c r="F121" s="85" t="s">
        <v>25</v>
      </c>
      <c r="G121" s="103">
        <v>46176</v>
      </c>
      <c r="H121" s="85">
        <v>4</v>
      </c>
      <c r="I121" s="88"/>
    </row>
    <row r="122" spans="1:9" ht="18" customHeight="1" x14ac:dyDescent="0.2">
      <c r="A122" s="79" t="s">
        <v>62</v>
      </c>
      <c r="B122" s="99" t="s">
        <v>487</v>
      </c>
      <c r="C122" s="80" t="s">
        <v>16</v>
      </c>
      <c r="D122" s="28" t="s">
        <v>63</v>
      </c>
      <c r="E122" s="28" t="s">
        <v>37</v>
      </c>
      <c r="F122" s="29" t="s">
        <v>25</v>
      </c>
      <c r="G122" s="100">
        <v>46176</v>
      </c>
      <c r="H122" s="29">
        <v>4</v>
      </c>
      <c r="I122" s="56"/>
    </row>
    <row r="123" spans="1:9" ht="18" customHeight="1" x14ac:dyDescent="0.2">
      <c r="A123" s="82" t="s">
        <v>65</v>
      </c>
      <c r="B123" s="101" t="s">
        <v>487</v>
      </c>
      <c r="C123" s="80" t="s">
        <v>16</v>
      </c>
      <c r="D123" s="84" t="s">
        <v>66</v>
      </c>
      <c r="E123" s="84" t="s">
        <v>39</v>
      </c>
      <c r="F123" s="85" t="s">
        <v>27</v>
      </c>
      <c r="G123" s="103">
        <v>46176</v>
      </c>
      <c r="H123" s="85">
        <v>4</v>
      </c>
      <c r="I123" s="88"/>
    </row>
    <row r="124" spans="1:9" ht="18" customHeight="1" x14ac:dyDescent="0.2">
      <c r="A124" s="79" t="s">
        <v>68</v>
      </c>
      <c r="B124" s="99" t="s">
        <v>487</v>
      </c>
      <c r="C124" s="80" t="s">
        <v>16</v>
      </c>
      <c r="D124" s="28" t="s">
        <v>69</v>
      </c>
      <c r="E124" s="28" t="s">
        <v>39</v>
      </c>
      <c r="F124" s="29" t="s">
        <v>27</v>
      </c>
      <c r="G124" s="100">
        <v>46176</v>
      </c>
      <c r="H124" s="29">
        <v>4</v>
      </c>
      <c r="I124" s="56"/>
    </row>
    <row r="125" spans="1:9" ht="18" customHeight="1" x14ac:dyDescent="0.2">
      <c r="A125" s="82" t="s">
        <v>71</v>
      </c>
      <c r="B125" s="101" t="s">
        <v>487</v>
      </c>
      <c r="C125" s="80" t="s">
        <v>16</v>
      </c>
      <c r="D125" s="84" t="s">
        <v>72</v>
      </c>
      <c r="E125" s="84" t="s">
        <v>41</v>
      </c>
      <c r="F125" s="85" t="s">
        <v>29</v>
      </c>
      <c r="G125" s="103">
        <v>46176</v>
      </c>
      <c r="H125" s="85">
        <v>4</v>
      </c>
      <c r="I125" s="88" t="s">
        <v>514</v>
      </c>
    </row>
    <row r="126" spans="1:9" ht="18" customHeight="1" x14ac:dyDescent="0.2">
      <c r="A126" s="79" t="s">
        <v>74</v>
      </c>
      <c r="B126" s="99" t="s">
        <v>487</v>
      </c>
      <c r="C126" s="80" t="s">
        <v>16</v>
      </c>
      <c r="D126" s="28" t="s">
        <v>75</v>
      </c>
      <c r="E126" s="28" t="s">
        <v>41</v>
      </c>
      <c r="F126" s="29" t="s">
        <v>29</v>
      </c>
      <c r="G126" s="100">
        <v>46176</v>
      </c>
      <c r="H126" s="29">
        <v>4</v>
      </c>
      <c r="I126" s="56" t="s">
        <v>515</v>
      </c>
    </row>
    <row r="127" spans="1:9" ht="18" customHeight="1" x14ac:dyDescent="0.2">
      <c r="A127" s="82" t="s">
        <v>516</v>
      </c>
      <c r="B127" s="101" t="s">
        <v>487</v>
      </c>
      <c r="C127" s="89" t="s">
        <v>17</v>
      </c>
      <c r="D127" s="84" t="s">
        <v>474</v>
      </c>
      <c r="E127" s="84"/>
      <c r="F127" s="85" t="s">
        <v>29</v>
      </c>
      <c r="G127" s="103">
        <v>46176</v>
      </c>
      <c r="H127" s="85">
        <v>4</v>
      </c>
      <c r="I127" s="88"/>
    </row>
    <row r="128" spans="1:9" ht="18" customHeight="1" x14ac:dyDescent="0.2">
      <c r="A128" s="79" t="s">
        <v>517</v>
      </c>
      <c r="B128" s="99" t="s">
        <v>487</v>
      </c>
      <c r="C128" s="89" t="s">
        <v>17</v>
      </c>
      <c r="D128" s="28" t="s">
        <v>474</v>
      </c>
      <c r="E128" s="28"/>
      <c r="F128" s="29" t="s">
        <v>29</v>
      </c>
      <c r="G128" s="100">
        <v>46176</v>
      </c>
      <c r="H128" s="29">
        <v>4</v>
      </c>
      <c r="I128" s="56"/>
    </row>
    <row r="129" spans="1:9" ht="18" customHeight="1" x14ac:dyDescent="0.2">
      <c r="A129" s="82" t="s">
        <v>518</v>
      </c>
      <c r="B129" s="101" t="s">
        <v>487</v>
      </c>
      <c r="C129" s="89" t="s">
        <v>17</v>
      </c>
      <c r="D129" s="84" t="s">
        <v>474</v>
      </c>
      <c r="E129" s="84"/>
      <c r="F129" s="85" t="s">
        <v>29</v>
      </c>
      <c r="G129" s="103">
        <v>46176</v>
      </c>
      <c r="H129" s="85">
        <v>4</v>
      </c>
      <c r="I129" s="88"/>
    </row>
    <row r="130" spans="1:9" ht="18" customHeight="1" x14ac:dyDescent="0.2">
      <c r="A130" s="79" t="s">
        <v>519</v>
      </c>
      <c r="B130" s="99" t="s">
        <v>487</v>
      </c>
      <c r="C130" s="89" t="s">
        <v>17</v>
      </c>
      <c r="D130" s="28" t="s">
        <v>474</v>
      </c>
      <c r="E130" s="28"/>
      <c r="F130" s="29" t="s">
        <v>29</v>
      </c>
      <c r="G130" s="100">
        <v>46176</v>
      </c>
      <c r="H130" s="29">
        <v>4</v>
      </c>
      <c r="I130" s="56"/>
    </row>
  </sheetData>
  <mergeCells count="1">
    <mergeCell ref="A1:I1"/>
  </mergeCells>
  <dataValidations count="1">
    <dataValidation type="list" sqref="C4:C230" xr:uid="{00000000-0002-0000-0300-000000000000}">
      <formula1>"ASIGNADO,DISPONIBLE,POR ASIGNAR,PERDIDO,EN TRAMITE"</formula1>
      <formula2>0</formula2>
    </dataValidation>
  </dataValidations>
  <pageMargins left="0.75" right="0.75" top="1" bottom="1" header="0.511811023622047" footer="0.511811023622047"/>
  <pageSetup paperSize="9" orientation="portrait" horizontalDpi="300" verticalDpi="300"/>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C55A11"/>
  </sheetPr>
  <dimension ref="A1:I52"/>
  <sheetViews>
    <sheetView showGridLines="0" zoomScaleNormal="100" workbookViewId="0">
      <pane ySplit="3" topLeftCell="A4" activePane="bottomLeft" state="frozen"/>
      <selection pane="bottomLeft" activeCell="B14" sqref="B14"/>
    </sheetView>
  </sheetViews>
  <sheetFormatPr baseColWidth="10" defaultColWidth="8.6640625" defaultRowHeight="15" x14ac:dyDescent="0.2"/>
  <cols>
    <col min="1" max="1" width="10" customWidth="1"/>
    <col min="2" max="2" width="13" customWidth="1"/>
    <col min="3" max="3" width="18" customWidth="1"/>
    <col min="4" max="4" width="13" customWidth="1"/>
    <col min="5" max="5" width="38" customWidth="1"/>
    <col min="6" max="6" width="28" customWidth="1"/>
    <col min="7" max="7" width="14" customWidth="1"/>
    <col min="8" max="8" width="40" customWidth="1"/>
    <col min="9" max="9" width="14" customWidth="1"/>
  </cols>
  <sheetData>
    <row r="1" spans="1:9" ht="31.5" customHeight="1" x14ac:dyDescent="0.2">
      <c r="A1" s="133" t="s">
        <v>520</v>
      </c>
      <c r="B1" s="133"/>
      <c r="C1" s="133"/>
      <c r="D1" s="133"/>
      <c r="E1" s="133"/>
      <c r="F1" s="133"/>
      <c r="G1" s="133"/>
      <c r="H1" s="133"/>
      <c r="I1" s="133"/>
    </row>
    <row r="2" spans="1:9" ht="6" customHeight="1" x14ac:dyDescent="0.2"/>
    <row r="3" spans="1:9" ht="27.75" customHeight="1" x14ac:dyDescent="0.2">
      <c r="A3" s="104" t="s">
        <v>47</v>
      </c>
      <c r="B3" s="104" t="s">
        <v>48</v>
      </c>
      <c r="C3" s="104" t="s">
        <v>49</v>
      </c>
      <c r="D3" s="104" t="s">
        <v>50</v>
      </c>
      <c r="E3" s="104" t="s">
        <v>51</v>
      </c>
      <c r="F3" s="104" t="s">
        <v>21</v>
      </c>
      <c r="G3" s="104" t="s">
        <v>15</v>
      </c>
      <c r="H3" s="104" t="s">
        <v>100</v>
      </c>
      <c r="I3" s="104" t="s">
        <v>521</v>
      </c>
    </row>
    <row r="4" spans="1:9" ht="18" customHeight="1" x14ac:dyDescent="0.2">
      <c r="A4" s="105" t="s">
        <v>522</v>
      </c>
      <c r="B4" s="106">
        <v>46169</v>
      </c>
      <c r="C4" s="89" t="s">
        <v>53</v>
      </c>
      <c r="D4" s="79" t="s">
        <v>336</v>
      </c>
      <c r="E4" s="28" t="s">
        <v>40</v>
      </c>
      <c r="F4" s="28" t="s">
        <v>40</v>
      </c>
      <c r="G4" s="29" t="s">
        <v>29</v>
      </c>
      <c r="H4" s="56" t="s">
        <v>523</v>
      </c>
      <c r="I4" s="81" t="s">
        <v>524</v>
      </c>
    </row>
    <row r="5" spans="1:9" ht="18" customHeight="1" x14ac:dyDescent="0.2">
      <c r="A5" s="107" t="s">
        <v>525</v>
      </c>
      <c r="B5" s="108">
        <v>46169</v>
      </c>
      <c r="C5" s="89" t="s">
        <v>53</v>
      </c>
      <c r="D5" s="109" t="s">
        <v>371</v>
      </c>
      <c r="E5" s="110" t="s">
        <v>5</v>
      </c>
      <c r="F5" s="110" t="s">
        <v>488</v>
      </c>
      <c r="G5" s="111" t="s">
        <v>29</v>
      </c>
      <c r="H5" s="64"/>
      <c r="I5" s="112" t="s">
        <v>524</v>
      </c>
    </row>
    <row r="6" spans="1:9" ht="18" customHeight="1" x14ac:dyDescent="0.2">
      <c r="A6" s="105" t="s">
        <v>526</v>
      </c>
      <c r="B6" s="106">
        <v>46169</v>
      </c>
      <c r="C6" s="89" t="s">
        <v>53</v>
      </c>
      <c r="D6" s="79" t="s">
        <v>375</v>
      </c>
      <c r="E6" s="28" t="s">
        <v>5</v>
      </c>
      <c r="F6" s="28" t="s">
        <v>488</v>
      </c>
      <c r="G6" s="29" t="s">
        <v>29</v>
      </c>
      <c r="H6" s="56"/>
      <c r="I6" s="81" t="s">
        <v>524</v>
      </c>
    </row>
    <row r="7" spans="1:9" ht="18" customHeight="1" x14ac:dyDescent="0.2">
      <c r="A7" s="107" t="s">
        <v>527</v>
      </c>
      <c r="B7" s="108">
        <v>46169</v>
      </c>
      <c r="C7" s="89" t="s">
        <v>53</v>
      </c>
      <c r="D7" s="109" t="s">
        <v>384</v>
      </c>
      <c r="E7" s="110" t="s">
        <v>5</v>
      </c>
      <c r="F7" s="110" t="s">
        <v>488</v>
      </c>
      <c r="G7" s="111" t="s">
        <v>29</v>
      </c>
      <c r="H7" s="64"/>
      <c r="I7" s="112" t="s">
        <v>524</v>
      </c>
    </row>
    <row r="8" spans="1:9" ht="18" customHeight="1" x14ac:dyDescent="0.2">
      <c r="A8" s="105" t="s">
        <v>528</v>
      </c>
      <c r="B8" s="106">
        <v>46169</v>
      </c>
      <c r="C8" s="89" t="s">
        <v>53</v>
      </c>
      <c r="D8" s="79" t="s">
        <v>381</v>
      </c>
      <c r="E8" s="28" t="s">
        <v>5</v>
      </c>
      <c r="F8" s="28" t="s">
        <v>488</v>
      </c>
      <c r="G8" s="29" t="s">
        <v>29</v>
      </c>
      <c r="H8" s="56"/>
      <c r="I8" s="81" t="s">
        <v>524</v>
      </c>
    </row>
    <row r="9" spans="1:9" ht="18" customHeight="1" x14ac:dyDescent="0.2">
      <c r="A9" s="107" t="s">
        <v>529</v>
      </c>
      <c r="B9" s="108">
        <v>46169</v>
      </c>
      <c r="C9" s="89" t="s">
        <v>53</v>
      </c>
      <c r="D9" s="109" t="s">
        <v>378</v>
      </c>
      <c r="E9" s="110" t="s">
        <v>5</v>
      </c>
      <c r="F9" s="110" t="s">
        <v>488</v>
      </c>
      <c r="G9" s="111" t="s">
        <v>29</v>
      </c>
      <c r="H9" s="64"/>
      <c r="I9" s="112" t="s">
        <v>524</v>
      </c>
    </row>
    <row r="10" spans="1:9" ht="18" customHeight="1" x14ac:dyDescent="0.2">
      <c r="A10" s="105" t="s">
        <v>530</v>
      </c>
      <c r="B10" s="106">
        <v>46174</v>
      </c>
      <c r="C10" s="89" t="s">
        <v>53</v>
      </c>
      <c r="D10" s="79" t="s">
        <v>395</v>
      </c>
      <c r="E10" s="28" t="s">
        <v>5</v>
      </c>
      <c r="F10" s="28" t="s">
        <v>490</v>
      </c>
      <c r="G10" s="29" t="s">
        <v>29</v>
      </c>
      <c r="H10" s="56"/>
      <c r="I10" s="81" t="s">
        <v>524</v>
      </c>
    </row>
    <row r="11" spans="1:9" ht="18" customHeight="1" x14ac:dyDescent="0.2">
      <c r="A11" s="107" t="s">
        <v>531</v>
      </c>
      <c r="B11" s="108">
        <v>46174</v>
      </c>
      <c r="C11" s="89" t="s">
        <v>53</v>
      </c>
      <c r="D11" s="109" t="s">
        <v>386</v>
      </c>
      <c r="E11" s="110" t="s">
        <v>5</v>
      </c>
      <c r="F11" s="110" t="s">
        <v>490</v>
      </c>
      <c r="G11" s="111" t="s">
        <v>29</v>
      </c>
      <c r="H11" s="64"/>
      <c r="I11" s="112" t="s">
        <v>524</v>
      </c>
    </row>
    <row r="12" spans="1:9" ht="18" customHeight="1" x14ac:dyDescent="0.2">
      <c r="A12" s="105" t="s">
        <v>532</v>
      </c>
      <c r="B12" s="106">
        <v>46174</v>
      </c>
      <c r="C12" s="89" t="s">
        <v>53</v>
      </c>
      <c r="D12" s="79" t="s">
        <v>401</v>
      </c>
      <c r="E12" s="28" t="s">
        <v>5</v>
      </c>
      <c r="F12" s="28" t="s">
        <v>490</v>
      </c>
      <c r="G12" s="29" t="s">
        <v>29</v>
      </c>
      <c r="H12" s="56"/>
      <c r="I12" s="81" t="s">
        <v>524</v>
      </c>
    </row>
    <row r="13" spans="1:9" ht="18" customHeight="1" x14ac:dyDescent="0.2">
      <c r="A13" s="107" t="s">
        <v>533</v>
      </c>
      <c r="B13" s="108">
        <v>46174</v>
      </c>
      <c r="C13" s="89" t="s">
        <v>53</v>
      </c>
      <c r="D13" s="109" t="s">
        <v>404</v>
      </c>
      <c r="E13" s="110" t="s">
        <v>5</v>
      </c>
      <c r="F13" s="110" t="s">
        <v>490</v>
      </c>
      <c r="G13" s="111" t="s">
        <v>29</v>
      </c>
      <c r="H13" s="64"/>
      <c r="I13" s="112" t="s">
        <v>524</v>
      </c>
    </row>
    <row r="14" spans="1:9" ht="18" customHeight="1" x14ac:dyDescent="0.2">
      <c r="A14" s="105" t="s">
        <v>534</v>
      </c>
      <c r="B14" s="106">
        <v>46175</v>
      </c>
      <c r="C14" s="89" t="s">
        <v>53</v>
      </c>
      <c r="D14" s="79" t="s">
        <v>427</v>
      </c>
      <c r="E14" s="28" t="s">
        <v>5</v>
      </c>
      <c r="F14" s="28" t="s">
        <v>492</v>
      </c>
      <c r="G14" s="29" t="s">
        <v>33</v>
      </c>
      <c r="H14" s="56"/>
      <c r="I14" s="81" t="s">
        <v>524</v>
      </c>
    </row>
    <row r="15" spans="1:9" ht="18" customHeight="1" x14ac:dyDescent="0.2">
      <c r="A15" s="107" t="s">
        <v>535</v>
      </c>
      <c r="B15" s="108">
        <v>46175</v>
      </c>
      <c r="C15" s="89" t="s">
        <v>53</v>
      </c>
      <c r="D15" s="109" t="s">
        <v>431</v>
      </c>
      <c r="E15" s="110" t="s">
        <v>5</v>
      </c>
      <c r="F15" s="110" t="s">
        <v>492</v>
      </c>
      <c r="G15" s="111" t="s">
        <v>33</v>
      </c>
      <c r="H15" s="64"/>
      <c r="I15" s="112" t="s">
        <v>524</v>
      </c>
    </row>
    <row r="16" spans="1:9" ht="18" customHeight="1" x14ac:dyDescent="0.2">
      <c r="A16" s="105" t="s">
        <v>536</v>
      </c>
      <c r="B16" s="106">
        <v>46175</v>
      </c>
      <c r="C16" s="89" t="s">
        <v>53</v>
      </c>
      <c r="D16" s="79" t="s">
        <v>434</v>
      </c>
      <c r="E16" s="28" t="s">
        <v>5</v>
      </c>
      <c r="F16" s="28" t="s">
        <v>492</v>
      </c>
      <c r="G16" s="29" t="s">
        <v>33</v>
      </c>
      <c r="H16" s="56"/>
      <c r="I16" s="81" t="s">
        <v>524</v>
      </c>
    </row>
    <row r="17" spans="1:9" ht="18" customHeight="1" x14ac:dyDescent="0.2">
      <c r="A17" s="107" t="s">
        <v>537</v>
      </c>
      <c r="B17" s="108">
        <v>46175</v>
      </c>
      <c r="C17" s="89" t="s">
        <v>53</v>
      </c>
      <c r="D17" s="109" t="s">
        <v>439</v>
      </c>
      <c r="E17" s="110" t="s">
        <v>5</v>
      </c>
      <c r="F17" s="110" t="s">
        <v>492</v>
      </c>
      <c r="G17" s="111" t="s">
        <v>33</v>
      </c>
      <c r="H17" s="64"/>
      <c r="I17" s="112" t="s">
        <v>524</v>
      </c>
    </row>
    <row r="18" spans="1:9" ht="18" customHeight="1" x14ac:dyDescent="0.2">
      <c r="A18" s="105" t="s">
        <v>538</v>
      </c>
      <c r="B18" s="106">
        <v>46175</v>
      </c>
      <c r="C18" s="89" t="s">
        <v>53</v>
      </c>
      <c r="D18" s="79" t="s">
        <v>442</v>
      </c>
      <c r="E18" s="28" t="s">
        <v>5</v>
      </c>
      <c r="F18" s="28" t="s">
        <v>492</v>
      </c>
      <c r="G18" s="29" t="s">
        <v>33</v>
      </c>
      <c r="H18" s="56"/>
      <c r="I18" s="81" t="s">
        <v>524</v>
      </c>
    </row>
    <row r="19" spans="1:9" ht="18" customHeight="1" x14ac:dyDescent="0.2">
      <c r="A19" s="107" t="s">
        <v>539</v>
      </c>
      <c r="B19" s="108">
        <v>46175</v>
      </c>
      <c r="C19" s="89" t="s">
        <v>53</v>
      </c>
      <c r="D19" s="109" t="s">
        <v>449</v>
      </c>
      <c r="E19" s="110" t="s">
        <v>5</v>
      </c>
      <c r="F19" s="110" t="s">
        <v>492</v>
      </c>
      <c r="G19" s="111" t="s">
        <v>33</v>
      </c>
      <c r="H19" s="64"/>
      <c r="I19" s="112" t="s">
        <v>524</v>
      </c>
    </row>
    <row r="20" spans="1:9" ht="18" customHeight="1" x14ac:dyDescent="0.2">
      <c r="A20" s="105" t="s">
        <v>540</v>
      </c>
      <c r="B20" s="106">
        <v>46175</v>
      </c>
      <c r="C20" s="89" t="s">
        <v>53</v>
      </c>
      <c r="D20" s="79" t="s">
        <v>423</v>
      </c>
      <c r="E20" s="28" t="s">
        <v>5</v>
      </c>
      <c r="F20" s="28" t="s">
        <v>492</v>
      </c>
      <c r="G20" s="29" t="s">
        <v>33</v>
      </c>
      <c r="H20" s="56"/>
      <c r="I20" s="81" t="s">
        <v>524</v>
      </c>
    </row>
    <row r="21" spans="1:9" ht="18" customHeight="1" x14ac:dyDescent="0.2">
      <c r="A21" s="107" t="s">
        <v>541</v>
      </c>
      <c r="B21" s="108">
        <v>46176</v>
      </c>
      <c r="C21" s="89" t="s">
        <v>53</v>
      </c>
      <c r="D21" s="109" t="s">
        <v>494</v>
      </c>
      <c r="E21" s="110" t="s">
        <v>5</v>
      </c>
      <c r="F21" s="110" t="s">
        <v>38</v>
      </c>
      <c r="G21" s="111" t="s">
        <v>25</v>
      </c>
      <c r="H21" s="64"/>
      <c r="I21" s="112" t="s">
        <v>524</v>
      </c>
    </row>
    <row r="22" spans="1:9" ht="18" customHeight="1" x14ac:dyDescent="0.2">
      <c r="A22" s="105" t="s">
        <v>542</v>
      </c>
      <c r="B22" s="106">
        <v>46176</v>
      </c>
      <c r="C22" s="89" t="s">
        <v>53</v>
      </c>
      <c r="D22" s="79" t="s">
        <v>495</v>
      </c>
      <c r="E22" s="28" t="s">
        <v>5</v>
      </c>
      <c r="F22" s="28" t="s">
        <v>38</v>
      </c>
      <c r="G22" s="29" t="s">
        <v>25</v>
      </c>
      <c r="H22" s="56"/>
      <c r="I22" s="81" t="s">
        <v>524</v>
      </c>
    </row>
    <row r="23" spans="1:9" ht="18" customHeight="1" x14ac:dyDescent="0.2">
      <c r="A23" s="107" t="s">
        <v>543</v>
      </c>
      <c r="B23" s="108">
        <v>46176</v>
      </c>
      <c r="C23" s="89" t="s">
        <v>53</v>
      </c>
      <c r="D23" s="109" t="s">
        <v>496</v>
      </c>
      <c r="E23" s="110" t="s">
        <v>5</v>
      </c>
      <c r="F23" s="110" t="s">
        <v>38</v>
      </c>
      <c r="G23" s="111" t="s">
        <v>25</v>
      </c>
      <c r="H23" s="64"/>
      <c r="I23" s="112" t="s">
        <v>524</v>
      </c>
    </row>
    <row r="24" spans="1:9" ht="18" customHeight="1" x14ac:dyDescent="0.2">
      <c r="A24" s="105" t="s">
        <v>544</v>
      </c>
      <c r="B24" s="106">
        <v>46176</v>
      </c>
      <c r="C24" s="89" t="s">
        <v>53</v>
      </c>
      <c r="D24" s="79" t="s">
        <v>497</v>
      </c>
      <c r="E24" s="28" t="s">
        <v>5</v>
      </c>
      <c r="F24" s="28" t="s">
        <v>38</v>
      </c>
      <c r="G24" s="29" t="s">
        <v>25</v>
      </c>
      <c r="H24" s="56"/>
      <c r="I24" s="81" t="s">
        <v>524</v>
      </c>
    </row>
    <row r="25" spans="1:9" ht="18" customHeight="1" x14ac:dyDescent="0.2">
      <c r="A25" s="107" t="s">
        <v>545</v>
      </c>
      <c r="B25" s="108">
        <v>46176</v>
      </c>
      <c r="C25" s="89" t="s">
        <v>53</v>
      </c>
      <c r="D25" s="109" t="s">
        <v>498</v>
      </c>
      <c r="E25" s="110" t="s">
        <v>5</v>
      </c>
      <c r="F25" s="110" t="s">
        <v>38</v>
      </c>
      <c r="G25" s="111" t="s">
        <v>25</v>
      </c>
      <c r="H25" s="64"/>
      <c r="I25" s="112" t="s">
        <v>524</v>
      </c>
    </row>
    <row r="26" spans="1:9" ht="18" customHeight="1" x14ac:dyDescent="0.2">
      <c r="A26" s="105" t="s">
        <v>546</v>
      </c>
      <c r="B26" s="106">
        <v>46176</v>
      </c>
      <c r="C26" s="89" t="s">
        <v>53</v>
      </c>
      <c r="D26" s="79" t="s">
        <v>499</v>
      </c>
      <c r="E26" s="28" t="s">
        <v>5</v>
      </c>
      <c r="F26" s="28" t="s">
        <v>38</v>
      </c>
      <c r="G26" s="29" t="s">
        <v>25</v>
      </c>
      <c r="H26" s="56"/>
      <c r="I26" s="81" t="s">
        <v>524</v>
      </c>
    </row>
    <row r="27" spans="1:9" ht="18" customHeight="1" x14ac:dyDescent="0.2">
      <c r="A27" s="107" t="s">
        <v>547</v>
      </c>
      <c r="B27" s="108">
        <v>46176</v>
      </c>
      <c r="C27" s="89" t="s">
        <v>53</v>
      </c>
      <c r="D27" s="109" t="s">
        <v>500</v>
      </c>
      <c r="E27" s="110" t="s">
        <v>5</v>
      </c>
      <c r="F27" s="110" t="s">
        <v>38</v>
      </c>
      <c r="G27" s="111" t="s">
        <v>25</v>
      </c>
      <c r="H27" s="64"/>
      <c r="I27" s="112" t="s">
        <v>524</v>
      </c>
    </row>
    <row r="28" spans="1:9" ht="18" customHeight="1" x14ac:dyDescent="0.2">
      <c r="A28" s="105" t="s">
        <v>548</v>
      </c>
      <c r="B28" s="106">
        <v>46176</v>
      </c>
      <c r="C28" s="89" t="s">
        <v>53</v>
      </c>
      <c r="D28" s="79" t="s">
        <v>501</v>
      </c>
      <c r="E28" s="28" t="s">
        <v>5</v>
      </c>
      <c r="F28" s="28" t="s">
        <v>38</v>
      </c>
      <c r="G28" s="29" t="s">
        <v>25</v>
      </c>
      <c r="H28" s="56"/>
      <c r="I28" s="81" t="s">
        <v>524</v>
      </c>
    </row>
    <row r="29" spans="1:9" ht="18" customHeight="1" x14ac:dyDescent="0.2">
      <c r="A29" s="107" t="s">
        <v>549</v>
      </c>
      <c r="B29" s="108">
        <v>46176</v>
      </c>
      <c r="C29" s="89" t="s">
        <v>53</v>
      </c>
      <c r="D29" s="109" t="s">
        <v>502</v>
      </c>
      <c r="E29" s="110" t="s">
        <v>5</v>
      </c>
      <c r="F29" s="110" t="s">
        <v>38</v>
      </c>
      <c r="G29" s="111" t="s">
        <v>25</v>
      </c>
      <c r="H29" s="64"/>
      <c r="I29" s="112" t="s">
        <v>524</v>
      </c>
    </row>
    <row r="30" spans="1:9" ht="18" customHeight="1" x14ac:dyDescent="0.2">
      <c r="A30" s="105" t="s">
        <v>550</v>
      </c>
      <c r="B30" s="106">
        <v>46176</v>
      </c>
      <c r="C30" s="89" t="s">
        <v>53</v>
      </c>
      <c r="D30" s="79" t="s">
        <v>503</v>
      </c>
      <c r="E30" s="28" t="s">
        <v>5</v>
      </c>
      <c r="F30" s="28" t="s">
        <v>38</v>
      </c>
      <c r="G30" s="29" t="s">
        <v>25</v>
      </c>
      <c r="H30" s="56"/>
      <c r="I30" s="81" t="s">
        <v>524</v>
      </c>
    </row>
    <row r="31" spans="1:9" ht="18" customHeight="1" x14ac:dyDescent="0.2">
      <c r="A31" s="107" t="s">
        <v>551</v>
      </c>
      <c r="B31" s="108">
        <v>46176</v>
      </c>
      <c r="C31" s="89" t="s">
        <v>53</v>
      </c>
      <c r="D31" s="109" t="s">
        <v>504</v>
      </c>
      <c r="E31" s="110" t="s">
        <v>5</v>
      </c>
      <c r="F31" s="110" t="s">
        <v>28</v>
      </c>
      <c r="G31" s="111" t="s">
        <v>23</v>
      </c>
      <c r="H31" s="64"/>
      <c r="I31" s="112" t="s">
        <v>524</v>
      </c>
    </row>
    <row r="32" spans="1:9" ht="18" customHeight="1" x14ac:dyDescent="0.2">
      <c r="A32" s="105" t="s">
        <v>552</v>
      </c>
      <c r="B32" s="106">
        <v>46176</v>
      </c>
      <c r="C32" s="89" t="s">
        <v>53</v>
      </c>
      <c r="D32" s="79" t="s">
        <v>505</v>
      </c>
      <c r="E32" s="28" t="s">
        <v>5</v>
      </c>
      <c r="F32" s="28" t="s">
        <v>28</v>
      </c>
      <c r="G32" s="29" t="s">
        <v>23</v>
      </c>
      <c r="H32" s="56"/>
      <c r="I32" s="81" t="s">
        <v>524</v>
      </c>
    </row>
    <row r="33" spans="1:9" ht="18" customHeight="1" x14ac:dyDescent="0.2">
      <c r="A33" s="107" t="s">
        <v>553</v>
      </c>
      <c r="B33" s="108">
        <v>46176</v>
      </c>
      <c r="C33" s="89" t="s">
        <v>53</v>
      </c>
      <c r="D33" s="109" t="s">
        <v>506</v>
      </c>
      <c r="E33" s="110" t="s">
        <v>5</v>
      </c>
      <c r="F33" s="110" t="s">
        <v>28</v>
      </c>
      <c r="G33" s="111" t="s">
        <v>23</v>
      </c>
      <c r="H33" s="64"/>
      <c r="I33" s="112" t="s">
        <v>524</v>
      </c>
    </row>
    <row r="34" spans="1:9" ht="18" customHeight="1" x14ac:dyDescent="0.2">
      <c r="A34" s="105" t="s">
        <v>554</v>
      </c>
      <c r="B34" s="106">
        <v>46176</v>
      </c>
      <c r="C34" s="89" t="s">
        <v>53</v>
      </c>
      <c r="D34" s="79" t="s">
        <v>507</v>
      </c>
      <c r="E34" s="28" t="s">
        <v>5</v>
      </c>
      <c r="F34" s="28" t="s">
        <v>28</v>
      </c>
      <c r="G34" s="29" t="s">
        <v>23</v>
      </c>
      <c r="H34" s="56"/>
      <c r="I34" s="81" t="s">
        <v>524</v>
      </c>
    </row>
    <row r="35" spans="1:9" ht="18" customHeight="1" x14ac:dyDescent="0.2">
      <c r="A35" s="107" t="s">
        <v>555</v>
      </c>
      <c r="B35" s="108">
        <v>46176</v>
      </c>
      <c r="C35" s="89" t="s">
        <v>53</v>
      </c>
      <c r="D35" s="109" t="s">
        <v>508</v>
      </c>
      <c r="E35" s="110" t="s">
        <v>5</v>
      </c>
      <c r="F35" s="110" t="s">
        <v>28</v>
      </c>
      <c r="G35" s="111" t="s">
        <v>23</v>
      </c>
      <c r="H35" s="64"/>
      <c r="I35" s="112" t="s">
        <v>524</v>
      </c>
    </row>
    <row r="36" spans="1:9" ht="18" customHeight="1" x14ac:dyDescent="0.2">
      <c r="A36" s="105" t="s">
        <v>556</v>
      </c>
      <c r="B36" s="106">
        <v>46176</v>
      </c>
      <c r="C36" s="89" t="s">
        <v>53</v>
      </c>
      <c r="D36" s="79" t="s">
        <v>509</v>
      </c>
      <c r="E36" s="28" t="s">
        <v>5</v>
      </c>
      <c r="F36" s="28" t="s">
        <v>28</v>
      </c>
      <c r="G36" s="29" t="s">
        <v>23</v>
      </c>
      <c r="H36" s="56"/>
      <c r="I36" s="81" t="s">
        <v>524</v>
      </c>
    </row>
    <row r="37" spans="1:9" ht="18" customHeight="1" x14ac:dyDescent="0.2">
      <c r="A37" s="107" t="s">
        <v>557</v>
      </c>
      <c r="B37" s="108">
        <v>46176</v>
      </c>
      <c r="C37" s="89" t="s">
        <v>53</v>
      </c>
      <c r="D37" s="109" t="s">
        <v>510</v>
      </c>
      <c r="E37" s="110" t="s">
        <v>5</v>
      </c>
      <c r="F37" s="110" t="s">
        <v>28</v>
      </c>
      <c r="G37" s="111" t="s">
        <v>23</v>
      </c>
      <c r="H37" s="64"/>
      <c r="I37" s="112" t="s">
        <v>524</v>
      </c>
    </row>
    <row r="38" spans="1:9" ht="18" customHeight="1" x14ac:dyDescent="0.2">
      <c r="A38" s="105" t="s">
        <v>558</v>
      </c>
      <c r="B38" s="106">
        <v>46176</v>
      </c>
      <c r="C38" s="89" t="s">
        <v>53</v>
      </c>
      <c r="D38" s="79" t="s">
        <v>511</v>
      </c>
      <c r="E38" s="28" t="s">
        <v>5</v>
      </c>
      <c r="F38" s="28" t="s">
        <v>28</v>
      </c>
      <c r="G38" s="29" t="s">
        <v>23</v>
      </c>
      <c r="H38" s="56"/>
      <c r="I38" s="81" t="s">
        <v>524</v>
      </c>
    </row>
    <row r="39" spans="1:9" ht="18" customHeight="1" x14ac:dyDescent="0.2">
      <c r="A39" s="107" t="s">
        <v>559</v>
      </c>
      <c r="B39" s="108">
        <v>46176</v>
      </c>
      <c r="C39" s="89" t="s">
        <v>53</v>
      </c>
      <c r="D39" s="109" t="s">
        <v>512</v>
      </c>
      <c r="E39" s="110" t="s">
        <v>5</v>
      </c>
      <c r="F39" s="110" t="s">
        <v>28</v>
      </c>
      <c r="G39" s="111" t="s">
        <v>23</v>
      </c>
      <c r="H39" s="64"/>
      <c r="I39" s="112" t="s">
        <v>524</v>
      </c>
    </row>
    <row r="40" spans="1:9" ht="18" customHeight="1" x14ac:dyDescent="0.2">
      <c r="A40" s="105" t="s">
        <v>560</v>
      </c>
      <c r="B40" s="106">
        <v>46176</v>
      </c>
      <c r="C40" s="89" t="s">
        <v>53</v>
      </c>
      <c r="D40" s="79" t="s">
        <v>513</v>
      </c>
      <c r="E40" s="28" t="s">
        <v>5</v>
      </c>
      <c r="F40" s="28" t="s">
        <v>28</v>
      </c>
      <c r="G40" s="29" t="s">
        <v>23</v>
      </c>
      <c r="H40" s="56"/>
      <c r="I40" s="81" t="s">
        <v>524</v>
      </c>
    </row>
    <row r="41" spans="1:9" ht="18" customHeight="1" x14ac:dyDescent="0.2">
      <c r="A41" s="107" t="s">
        <v>561</v>
      </c>
      <c r="B41" s="108">
        <v>46176</v>
      </c>
      <c r="C41" s="89" t="s">
        <v>53</v>
      </c>
      <c r="D41" s="109" t="s">
        <v>202</v>
      </c>
      <c r="E41" s="110" t="s">
        <v>201</v>
      </c>
      <c r="F41" s="110" t="s">
        <v>32</v>
      </c>
      <c r="G41" s="111" t="s">
        <v>25</v>
      </c>
      <c r="H41" s="64"/>
      <c r="I41" s="112" t="s">
        <v>524</v>
      </c>
    </row>
    <row r="42" spans="1:9" ht="18" customHeight="1" x14ac:dyDescent="0.2">
      <c r="A42" s="105" t="s">
        <v>562</v>
      </c>
      <c r="B42" s="106">
        <v>46176</v>
      </c>
      <c r="C42" s="89" t="s">
        <v>53</v>
      </c>
      <c r="D42" s="79" t="s">
        <v>196</v>
      </c>
      <c r="E42" s="28" t="s">
        <v>32</v>
      </c>
      <c r="F42" s="28" t="s">
        <v>32</v>
      </c>
      <c r="G42" s="29" t="s">
        <v>25</v>
      </c>
      <c r="H42" s="56"/>
      <c r="I42" s="81" t="s">
        <v>524</v>
      </c>
    </row>
    <row r="43" spans="1:9" ht="18" customHeight="1" x14ac:dyDescent="0.2">
      <c r="A43" s="107" t="s">
        <v>52</v>
      </c>
      <c r="B43" s="108">
        <v>46176</v>
      </c>
      <c r="C43" s="89" t="s">
        <v>53</v>
      </c>
      <c r="D43" s="109" t="s">
        <v>54</v>
      </c>
      <c r="E43" s="110" t="s">
        <v>55</v>
      </c>
      <c r="F43" s="110" t="s">
        <v>34</v>
      </c>
      <c r="G43" s="111" t="s">
        <v>25</v>
      </c>
      <c r="H43" s="64"/>
      <c r="I43" s="112" t="s">
        <v>524</v>
      </c>
    </row>
    <row r="44" spans="1:9" ht="18" customHeight="1" x14ac:dyDescent="0.2">
      <c r="A44" s="105" t="s">
        <v>56</v>
      </c>
      <c r="B44" s="106">
        <v>46176</v>
      </c>
      <c r="C44" s="89" t="s">
        <v>53</v>
      </c>
      <c r="D44" s="79" t="s">
        <v>57</v>
      </c>
      <c r="E44" s="28" t="s">
        <v>37</v>
      </c>
      <c r="F44" s="28" t="s">
        <v>37</v>
      </c>
      <c r="G44" s="29" t="s">
        <v>25</v>
      </c>
      <c r="H44" s="56"/>
      <c r="I44" s="81" t="s">
        <v>524</v>
      </c>
    </row>
    <row r="45" spans="1:9" ht="18" customHeight="1" x14ac:dyDescent="0.2">
      <c r="A45" s="107" t="s">
        <v>58</v>
      </c>
      <c r="B45" s="108">
        <v>46176</v>
      </c>
      <c r="C45" s="89" t="s">
        <v>53</v>
      </c>
      <c r="D45" s="109" t="s">
        <v>59</v>
      </c>
      <c r="E45" s="110" t="s">
        <v>60</v>
      </c>
      <c r="F45" s="110" t="s">
        <v>37</v>
      </c>
      <c r="G45" s="111" t="s">
        <v>25</v>
      </c>
      <c r="H45" s="64"/>
      <c r="I45" s="112" t="s">
        <v>524</v>
      </c>
    </row>
    <row r="46" spans="1:9" ht="18" customHeight="1" x14ac:dyDescent="0.2">
      <c r="A46" s="105" t="s">
        <v>61</v>
      </c>
      <c r="B46" s="106">
        <v>46176</v>
      </c>
      <c r="C46" s="89" t="s">
        <v>53</v>
      </c>
      <c r="D46" s="79" t="s">
        <v>62</v>
      </c>
      <c r="E46" s="28" t="s">
        <v>63</v>
      </c>
      <c r="F46" s="28" t="s">
        <v>37</v>
      </c>
      <c r="G46" s="29" t="s">
        <v>25</v>
      </c>
      <c r="H46" s="56"/>
      <c r="I46" s="81" t="s">
        <v>524</v>
      </c>
    </row>
    <row r="47" spans="1:9" ht="18" customHeight="1" x14ac:dyDescent="0.2">
      <c r="A47" s="107" t="s">
        <v>64</v>
      </c>
      <c r="B47" s="108">
        <v>46176</v>
      </c>
      <c r="C47" s="89" t="s">
        <v>53</v>
      </c>
      <c r="D47" s="109" t="s">
        <v>65</v>
      </c>
      <c r="E47" s="110" t="s">
        <v>66</v>
      </c>
      <c r="F47" s="110" t="s">
        <v>39</v>
      </c>
      <c r="G47" s="111" t="s">
        <v>27</v>
      </c>
      <c r="H47" s="64"/>
      <c r="I47" s="112" t="s">
        <v>524</v>
      </c>
    </row>
    <row r="48" spans="1:9" ht="18" customHeight="1" x14ac:dyDescent="0.2">
      <c r="A48" s="105" t="s">
        <v>67</v>
      </c>
      <c r="B48" s="106">
        <v>46176</v>
      </c>
      <c r="C48" s="89" t="s">
        <v>53</v>
      </c>
      <c r="D48" s="79" t="s">
        <v>68</v>
      </c>
      <c r="E48" s="28" t="s">
        <v>69</v>
      </c>
      <c r="F48" s="28" t="s">
        <v>39</v>
      </c>
      <c r="G48" s="29" t="s">
        <v>27</v>
      </c>
      <c r="H48" s="56"/>
      <c r="I48" s="81" t="s">
        <v>524</v>
      </c>
    </row>
    <row r="49" spans="1:9" ht="18" customHeight="1" x14ac:dyDescent="0.2">
      <c r="A49" s="107" t="s">
        <v>70</v>
      </c>
      <c r="B49" s="108">
        <v>46176</v>
      </c>
      <c r="C49" s="89" t="s">
        <v>53</v>
      </c>
      <c r="D49" s="109" t="s">
        <v>71</v>
      </c>
      <c r="E49" s="110" t="s">
        <v>72</v>
      </c>
      <c r="F49" s="110" t="s">
        <v>41</v>
      </c>
      <c r="G49" s="111" t="s">
        <v>29</v>
      </c>
      <c r="H49" s="64" t="s">
        <v>563</v>
      </c>
      <c r="I49" s="112" t="s">
        <v>524</v>
      </c>
    </row>
    <row r="50" spans="1:9" ht="18" customHeight="1" x14ac:dyDescent="0.2">
      <c r="A50" s="105" t="s">
        <v>73</v>
      </c>
      <c r="B50" s="106">
        <v>46176</v>
      </c>
      <c r="C50" s="89" t="s">
        <v>53</v>
      </c>
      <c r="D50" s="79" t="s">
        <v>74</v>
      </c>
      <c r="E50" s="28" t="s">
        <v>75</v>
      </c>
      <c r="F50" s="28" t="s">
        <v>41</v>
      </c>
      <c r="G50" s="29" t="s">
        <v>29</v>
      </c>
      <c r="H50" s="56" t="s">
        <v>564</v>
      </c>
      <c r="I50" s="81" t="s">
        <v>524</v>
      </c>
    </row>
    <row r="51" spans="1:9" ht="18" customHeight="1" x14ac:dyDescent="0.2">
      <c r="A51" s="107" t="s">
        <v>76</v>
      </c>
      <c r="B51" s="108">
        <v>46176</v>
      </c>
      <c r="C51" s="98" t="s">
        <v>77</v>
      </c>
      <c r="D51" s="109" t="s">
        <v>78</v>
      </c>
      <c r="E51" s="110" t="s">
        <v>75</v>
      </c>
      <c r="F51" s="110" t="s">
        <v>41</v>
      </c>
      <c r="G51" s="111" t="s">
        <v>29</v>
      </c>
      <c r="H51" s="64" t="s">
        <v>565</v>
      </c>
      <c r="I51" s="112" t="s">
        <v>524</v>
      </c>
    </row>
    <row r="52" spans="1:9" ht="18" customHeight="1" x14ac:dyDescent="0.2">
      <c r="A52" s="105" t="s">
        <v>79</v>
      </c>
      <c r="B52" s="106">
        <v>46176</v>
      </c>
      <c r="C52" s="98" t="s">
        <v>77</v>
      </c>
      <c r="D52" s="79" t="s">
        <v>71</v>
      </c>
      <c r="E52" s="28" t="s">
        <v>72</v>
      </c>
      <c r="F52" s="28" t="s">
        <v>41</v>
      </c>
      <c r="G52" s="29" t="s">
        <v>29</v>
      </c>
      <c r="H52" s="56" t="s">
        <v>566</v>
      </c>
      <c r="I52" s="81" t="s">
        <v>524</v>
      </c>
    </row>
  </sheetData>
  <mergeCells count="1">
    <mergeCell ref="A1:I1"/>
  </mergeCells>
  <pageMargins left="0.75" right="0.75" top="1" bottom="1" header="0.511811023622047" footer="0.511811023622047"/>
  <pageSetup paperSize="9" orientation="portrait" horizontalDpi="300" verticalDpi="300"/>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595959"/>
  </sheetPr>
  <dimension ref="A1:H11"/>
  <sheetViews>
    <sheetView showGridLines="0" zoomScaleNormal="100" workbookViewId="0">
      <selection activeCell="H8" sqref="H8"/>
    </sheetView>
  </sheetViews>
  <sheetFormatPr baseColWidth="10" defaultColWidth="8.6640625" defaultRowHeight="15" x14ac:dyDescent="0.2"/>
  <cols>
    <col min="1" max="3" width="18" customWidth="1"/>
    <col min="4" max="4" width="20" customWidth="1"/>
    <col min="5" max="5" width="22" customWidth="1"/>
    <col min="6" max="6" width="20" customWidth="1"/>
    <col min="7" max="7" width="2" customWidth="1"/>
    <col min="8" max="8" width="52" customWidth="1"/>
  </cols>
  <sheetData>
    <row r="1" spans="1:8" ht="31.5" customHeight="1" x14ac:dyDescent="0.2">
      <c r="A1" s="14" t="s">
        <v>567</v>
      </c>
      <c r="B1" s="14"/>
      <c r="C1" s="14"/>
      <c r="D1" s="14"/>
      <c r="E1" s="14"/>
      <c r="F1" s="14"/>
      <c r="G1" s="14"/>
      <c r="H1" s="14"/>
    </row>
    <row r="2" spans="1:8" ht="7.5" customHeight="1" x14ac:dyDescent="0.2"/>
    <row r="3" spans="1:8" ht="15" customHeight="1" x14ac:dyDescent="0.2">
      <c r="A3" s="47" t="s">
        <v>568</v>
      </c>
      <c r="B3" s="113" t="s">
        <v>569</v>
      </c>
      <c r="C3" s="15" t="s">
        <v>570</v>
      </c>
      <c r="D3" s="114" t="s">
        <v>571</v>
      </c>
      <c r="E3" s="104" t="s">
        <v>572</v>
      </c>
      <c r="F3" s="115" t="s">
        <v>573</v>
      </c>
      <c r="H3" s="116" t="s">
        <v>574</v>
      </c>
    </row>
    <row r="4" spans="1:8" ht="21.75" customHeight="1" x14ac:dyDescent="0.2">
      <c r="A4" s="117" t="s">
        <v>23</v>
      </c>
      <c r="B4" s="117" t="s">
        <v>113</v>
      </c>
      <c r="C4" s="117" t="s">
        <v>51</v>
      </c>
      <c r="D4" s="117" t="s">
        <v>16</v>
      </c>
      <c r="E4" s="117" t="s">
        <v>53</v>
      </c>
      <c r="F4" s="117" t="s">
        <v>487</v>
      </c>
      <c r="H4" s="118" t="s">
        <v>575</v>
      </c>
    </row>
    <row r="5" spans="1:8" ht="21.75" customHeight="1" x14ac:dyDescent="0.2">
      <c r="A5" s="119" t="s">
        <v>25</v>
      </c>
      <c r="B5" s="119" t="s">
        <v>179</v>
      </c>
      <c r="C5" s="119" t="s">
        <v>21</v>
      </c>
      <c r="D5" s="119" t="s">
        <v>17</v>
      </c>
      <c r="E5" s="119" t="s">
        <v>576</v>
      </c>
      <c r="F5" s="119" t="s">
        <v>456</v>
      </c>
      <c r="H5" s="118" t="s">
        <v>577</v>
      </c>
    </row>
    <row r="6" spans="1:8" ht="21.75" customHeight="1" x14ac:dyDescent="0.2">
      <c r="A6" s="117" t="s">
        <v>27</v>
      </c>
      <c r="D6" s="117" t="s">
        <v>5</v>
      </c>
      <c r="E6" s="117" t="s">
        <v>578</v>
      </c>
      <c r="H6" s="120" t="s">
        <v>579</v>
      </c>
    </row>
    <row r="7" spans="1:8" ht="21.75" customHeight="1" x14ac:dyDescent="0.2">
      <c r="A7" s="119" t="s">
        <v>29</v>
      </c>
      <c r="D7" s="119" t="s">
        <v>18</v>
      </c>
      <c r="E7" s="119" t="s">
        <v>77</v>
      </c>
      <c r="H7" s="121" t="s">
        <v>580</v>
      </c>
    </row>
    <row r="8" spans="1:8" ht="21.75" customHeight="1" x14ac:dyDescent="0.2">
      <c r="A8" s="117" t="s">
        <v>31</v>
      </c>
      <c r="D8" s="117" t="s">
        <v>581</v>
      </c>
      <c r="E8" s="117" t="s">
        <v>582</v>
      </c>
      <c r="H8" s="121" t="s">
        <v>583</v>
      </c>
    </row>
    <row r="9" spans="1:8" ht="21.75" customHeight="1" x14ac:dyDescent="0.2">
      <c r="A9" s="119" t="s">
        <v>33</v>
      </c>
      <c r="E9" s="119" t="s">
        <v>584</v>
      </c>
      <c r="H9" s="121" t="s">
        <v>585</v>
      </c>
    </row>
    <row r="10" spans="1:8" ht="21.75" customHeight="1" x14ac:dyDescent="0.2">
      <c r="E10" s="117" t="s">
        <v>586</v>
      </c>
      <c r="H10" s="121" t="s">
        <v>587</v>
      </c>
    </row>
    <row r="11" spans="1:8" ht="15" customHeight="1" x14ac:dyDescent="0.2">
      <c r="E11" s="119" t="s">
        <v>588</v>
      </c>
    </row>
  </sheetData>
  <mergeCells count="1">
    <mergeCell ref="A1:H1"/>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Hojas de cálculo</vt:lpstr>
      </vt:variant>
      <vt:variant>
        <vt:i4>6</vt:i4>
      </vt:variant>
    </vt:vector>
  </HeadingPairs>
  <TitlesOfParts>
    <vt:vector size="6" baseType="lpstr">
      <vt:lpstr>DASHBOARD</vt:lpstr>
      <vt:lpstr>BUSCADOR</vt:lpstr>
      <vt:lpstr>PERSONAL</vt:lpstr>
      <vt:lpstr>ACTIVOS</vt:lpstr>
      <vt:lpstr>MOVIMIENTOS</vt:lpstr>
      <vt:lpstr>PARAMETROS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jorge luis saavedra</cp:lastModifiedBy>
  <cp:revision>0</cp:revision>
  <dcterms:created xsi:type="dcterms:W3CDTF">2026-06-07T13:28:51Z</dcterms:created>
  <dcterms:modified xsi:type="dcterms:W3CDTF">2026-06-07T22:48:01Z</dcterms:modified>
  <dc:language>en-US</dc:language>
</cp:coreProperties>
</file>