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BUSCADOR" sheetId="2" r:id="rId2"/>
    <sheet name="INVENTARIO_GENERAL" sheetId="3" r:id="rId3"/>
    <sheet name="PERSONAL" sheetId="4" r:id="rId4"/>
    <sheet name="MOVIMIENTOS" sheetId="5" r:id="rId5"/>
    <sheet name="PARAMETROS" sheetId="6" r:id="rId6"/>
  </sheets>
  <calcPr calcId="0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1"/>
      <name val="Calibri"/>
    </font>
    <font>
      <b/>
      <sz val="11"/>
      <color rgb="FFFFFFFF"/>
      <name val="Calibri"/>
    </font>
    <font>
      <b/>
      <sz val="16"/>
      <color rgb="FF1F4E78"/>
      <name val="Calibri"/>
    </font>
    <font>
      <b/>
      <sz val="11"/>
      <color rgb="FFFFFFFF"/>
      <name val="Calibri"/>
    </font>
    <font>
      <b/>
      <sz val="22"/>
      <color rgb="FF1F4E78"/>
      <name val="Calibri"/>
    </font>
    <font>
      <b/>
      <sz val="11"/>
      <name val="Calibri"/>
    </font>
    <font>
      <b/>
      <sz val="12"/>
      <color rgb="FF1F4E7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6" fillId="5" borderId="0" xfId="0" applyFont="1" applyFill="1" applyAlignment="1">
      <alignment vertical="center"/>
    </xf>
    <xf numFmtId="0" fontId="4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" b="1"/>
              <a:t>Distribucion por Estado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DASHBOARD!$P$3:$P$6</c:f>
              <c:strCache>
                <c:ptCount val="4"/>
                <c:pt idx="0">
                  <c:v>ASIGNADO</c:v>
                </c:pt>
                <c:pt idx="1">
                  <c:v>DISPONIBLE</c:v>
                </c:pt>
                <c:pt idx="2">
                  <c:v>POR ASIGNAR</c:v>
                </c:pt>
                <c:pt idx="3">
                  <c:v>PERDIDO</c:v>
                </c:pt>
              </c:strCache>
            </c:strRef>
          </c:cat>
          <c:val>
            <c:numRef>
              <c:f>DASHBOARD!$Q$3:$Q$6</c:f>
              <c:numCache>
                <c:formatCode>General</c:formatCode>
                <c:ptCount val="4"/>
                <c:pt idx="0">
                  <c:v>76</c:v>
                </c:pt>
                <c:pt idx="1">
                  <c:v>65</c:v>
                </c:pt>
                <c:pt idx="2">
                  <c:v>35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" b="1"/>
              <a:t>Credenciales por Regional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86C1"/>
            </a:solidFill>
          </c:spPr>
          <c:cat>
            <c:strRef>
              <c:f>DASHBOARD!$A$13:$A$18</c:f>
              <c:strCache>
                <c:ptCount val="6"/>
                <c:pt idx="0">
                  <c:v>COCHABAMBA</c:v>
                </c:pt>
                <c:pt idx="1">
                  <c:v>LA PAZ</c:v>
                </c:pt>
                <c:pt idx="2">
                  <c:v>ORURO</c:v>
                </c:pt>
                <c:pt idx="3">
                  <c:v>SANTA CRUZ</c:v>
                </c:pt>
                <c:pt idx="4">
                  <c:v>SUCRE</c:v>
                </c:pt>
                <c:pt idx="5">
                  <c:v>TARIJA</c:v>
                </c:pt>
              </c:strCache>
            </c:strRef>
          </c:cat>
          <c:val>
            <c:numRef>
              <c:f>DASHBOARD!$F$13:$F$18</c:f>
              <c:numCache>
                <c:formatCode>General</c:formatCode>
                <c:ptCount val="6"/>
                <c:pt idx="0">
                  <c:v>30</c:v>
                </c:pt>
                <c:pt idx="1">
                  <c:v>39</c:v>
                </c:pt>
                <c:pt idx="2">
                  <c:v>10</c:v>
                </c:pt>
                <c:pt idx="3">
                  <c:v>85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</c:ser>
        <c:axId val="111"/>
        <c:axId val="222"/>
      </c:bar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crossAx val="111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s" b="1"/>
              <a:t>Asignadas por Supervisor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7AE60"/>
            </a:solidFill>
          </c:spPr>
          <c:cat>
            <c:strRef>
              <c:f>DASHBOARD!$I$13:$I$28</c:f>
              <c:strCache>
                <c:ptCount val="16"/>
                <c:pt idx="0">
                  <c:v>HASIRA DANIELA OSINAGA CHOQUE</c:v>
                </c:pt>
                <c:pt idx="1">
                  <c:v>PAMELA FANNY CALANI LAURA</c:v>
                </c:pt>
                <c:pt idx="2">
                  <c:v>NATALIA VILLARROEL</c:v>
                </c:pt>
                <c:pt idx="3">
                  <c:v>CLAUDIA SHASKIA CALLE NINA</c:v>
                </c:pt>
                <c:pt idx="4">
                  <c:v>GERCY EVER ERGUETA KIPPES</c:v>
                </c:pt>
                <c:pt idx="5">
                  <c:v>JOEL DAVID HUANCA HUANCA</c:v>
                </c:pt>
                <c:pt idx="6">
                  <c:v>MAGALI YESENIA HUANCA HUANCA</c:v>
                </c:pt>
                <c:pt idx="7">
                  <c:v>MILENKO ADRIANA ORDONEZ NUNEZ</c:v>
                </c:pt>
                <c:pt idx="8">
                  <c:v>LIONEL CHABUR</c:v>
                </c:pt>
                <c:pt idx="9">
                  <c:v>MIRIAM ROSA CHAMBI QUISPE</c:v>
                </c:pt>
                <c:pt idx="10">
                  <c:v>JORGE SAAVEDRA</c:v>
                </c:pt>
                <c:pt idx="11">
                  <c:v>BEATRIZ OVIEDO OVIEDO</c:v>
                </c:pt>
                <c:pt idx="12">
                  <c:v>DELIA JORDAN FACUSSE</c:v>
                </c:pt>
                <c:pt idx="13">
                  <c:v>JOSE GUTIERREZ PEDRAZA</c:v>
                </c:pt>
                <c:pt idx="14">
                  <c:v>JENNY CRISTINA ECHALAR MONTALVO</c:v>
                </c:pt>
                <c:pt idx="15">
                  <c:v>MARIA FERNANDA DAZA PALMA</c:v>
                </c:pt>
              </c:strCache>
            </c:strRef>
          </c:cat>
          <c:val>
            <c:numRef>
              <c:f>DASHBOARD!$K$13:$K$28</c:f>
              <c:numCache>
                <c:formatCode>General</c:formatCode>
                <c:ptCount val="16"/>
                <c:pt idx="0">
                  <c:v>9</c:v>
                </c:pt>
                <c:pt idx="1">
                  <c:v>9</c:v>
                </c:pt>
                <c:pt idx="2">
                  <c:v>0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10</c:v>
                </c:pt>
                <c:pt idx="10">
                  <c:v>1</c:v>
                </c:pt>
                <c:pt idx="11">
                  <c:v>6</c:v>
                </c:pt>
                <c:pt idx="12">
                  <c:v>1</c:v>
                </c:pt>
                <c:pt idx="13">
                  <c:v>3</c:v>
                </c:pt>
                <c:pt idx="14">
                  <c:v>6</c:v>
                </c:pt>
                <c:pt idx="15">
                  <c:v>0</c:v>
                </c:pt>
              </c:numCache>
            </c:numRef>
          </c:val>
        </c:ser>
        <c:axId val="111"/>
        <c:axId val="222"/>
      </c:bar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crossAx val="111"/>
      </c:valAx>
    </c:plotArea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</xdr:row>
      <xdr:rowOff>0</xdr:rowOff>
    </xdr:from>
    <xdr:to>
      <xdr:col>6</xdr:col>
      <xdr:colOff>0</xdr:colOff>
      <xdr:row>58</xdr:row>
      <xdr:rowOff>0</xdr:rowOff>
    </xdr:to>
    <xdr:graphicFrame macro="">
      <xdr:nvGraphicFramePr>
        <xdr:cNvPr id="2" name="Grafico Estad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13</xdr:col>
      <xdr:colOff>0</xdr:colOff>
      <xdr:row>58</xdr:row>
      <xdr:rowOff>0</xdr:rowOff>
    </xdr:to>
    <xdr:graphicFrame macro="">
      <xdr:nvGraphicFramePr>
        <xdr:cNvPr id="3" name="Grafico Region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13</xdr:col>
      <xdr:colOff>0</xdr:colOff>
      <xdr:row>75</xdr:row>
      <xdr:rowOff>0</xdr:rowOff>
    </xdr:to>
    <xdr:graphicFrame macro="">
      <xdr:nvGraphicFramePr>
        <xdr:cNvPr id="4" name="Grafico Superviso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InventarioGeneral" displayName="TablaInventarioGeneral" ref="A1:L178" totalsRowShown="0">
  <autoFilter ref="A1:L178"/>
  <tableColumns count="12">
    <tableColumn id="1" name="Codigo_Activo"/>
    <tableColumn id="2" name="Generacion"/>
    <tableColumn id="3" name="Estado_Actual"/>
    <tableColumn id="4" name="Responsable_Actual"/>
    <tableColumn id="5" name="Telefono"/>
    <tableColumn id="6" name="Supervisor"/>
    <tableColumn id="7" name="Regional"/>
    <tableColumn id="8" name="Fecha_Ultima_Asignacion"/>
    <tableColumn id="9" name="Fecha_Ultima_Devolucion"/>
    <tableColumn id="10" name="Cantidad_Perdidas"/>
    <tableColumn id="11" name="Dias_En_Uso"/>
    <tableColumn id="12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Personal" displayName="TablaPersonal" ref="A1:J132" totalsRowShown="0">
  <autoFilter ref="A1:J132"/>
  <tableColumns count="10">
    <tableColumn id="1" name="ID_Persona"/>
    <tableColumn id="2" name="Telefono"/>
    <tableColumn id="3" name="Nombres_Apellidos"/>
    <tableColumn id="4" name="Rol"/>
    <tableColumn id="5" name="Supervisor"/>
    <tableColumn id="6" name="Regional"/>
    <tableColumn id="7" name="Estado"/>
    <tableColumn id="8" name="Credencial_Actual"/>
    <tableColumn id="9" name="Fecha_Ingreso"/>
    <tableColumn id="10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Movimientos" displayName="TablaMovimientos" ref="A1:I50" totalsRowShown="0">
  <autoFilter ref="A1:I50"/>
  <tableColumns count="9">
    <tableColumn id="1" name="N_Mov"/>
    <tableColumn id="2" name="Fecha"/>
    <tableColumn id="3" name="Tipo_Movimiento"/>
    <tableColumn id="4" name="Codigo_BEX"/>
    <tableColumn id="5" name="Afiliador"/>
    <tableColumn id="6" name="Supervisor"/>
    <tableColumn id="7" name="Regional"/>
    <tableColumn id="8" name="Observaciones"/>
    <tableColumn id="9" name="Registrado_P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Parametros" displayName="TablaParametros" ref="A1:F10" totalsRowShown="0">
  <autoFilter ref="A1:F10"/>
  <tableColumns count="6">
    <tableColumn id="1" name="Regionales"/>
    <tableColumn id="2" name="Estados_Persona"/>
    <tableColumn id="3" name="Roles"/>
    <tableColumn id="4" name="Estados_Credencial"/>
    <tableColumn id="5" name="Tipos_Movimiento"/>
    <tableColumn id="6" name="Generacio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workbookViewId="0">
      <pane xSplit="0" ySplit="1" topLeftCell="A2" activePane="bottomRight" state="frozen"/>
      <selection pane="bottomRight"/>
    </sheetView>
  </sheetViews>
  <sheetFormatPr defaultRowHeight="15"/>
  <cols>
    <col min="1" max="1" width="30.00" customWidth="1"/>
    <col min="2" max="2" width="12.00" customWidth="1"/>
    <col min="3" max="3" width="12.00" customWidth="1"/>
    <col min="4" max="4" width="12.00" customWidth="1"/>
    <col min="5" max="5" width="12.00" customWidth="1"/>
    <col min="6" max="6" width="10.00" customWidth="1"/>
    <col min="7" max="7" width="10.00" customWidth="1"/>
    <col min="8" max="8" width="3.00" customWidth="1"/>
    <col min="9" max="9" width="32.00" customWidth="1"/>
    <col min="10" max="10" width="13.00" customWidth="1"/>
    <col min="11" max="11" width="11.00" customWidth="1"/>
    <col min="12" max="12" width="9.00" customWidth="1"/>
    <col min="13" max="13" width="10.00" customWidth="1"/>
    <col min="14" max="14" width="10.00" customWidth="1"/>
  </cols>
  <sheetData>
    <row r="1">
      <c r="A1" s="2" t="inlineStr">
        <is>
          <t xml:space="preserve">DASHBOARD EJECUTIVO  -  Control de Credenciales BEX  (actualizacion automatica)</t>
        </is>
      </c>
    </row>
    <row r="2">
      <c r="P2" s="9" t="inlineStr">
        <is>
          <t xml:space="preserve">DISTRIBUCION POR ESTADO</t>
        </is>
      </c>
    </row>
    <row r="3">
      <c r="A3" s="3" t="inlineStr">
        <is>
          <t xml:space="preserve">INDICADORES CLAVE DE CREDENCIALES</t>
        </is>
      </c>
      <c r="P3" s="7" t="inlineStr">
        <is>
          <t xml:space="preserve">ASIGNADO</t>
        </is>
      </c>
      <c r="Q3" s="10">
        <f>COUNTIF(TablaInventarioGeneral[Estado_Actual],"ASIGNADO")</f>
      </c>
    </row>
    <row r="4">
      <c r="A4" s="5" t="inlineStr">
        <is>
          <t xml:space="preserve">TOTAL CREDENCIALES</t>
        </is>
      </c>
      <c r="D4" s="5" t="inlineStr">
        <is>
          <t xml:space="preserve">ASIGNADAS</t>
        </is>
      </c>
      <c r="G4" s="5" t="inlineStr">
        <is>
          <t xml:space="preserve">DISPONIBLES</t>
        </is>
      </c>
      <c r="J4" s="5" t="inlineStr">
        <is>
          <t xml:space="preserve">POR ASIGNAR</t>
        </is>
      </c>
      <c r="M4" s="5" t="inlineStr">
        <is>
          <t xml:space="preserve">PERDIDAS</t>
        </is>
      </c>
      <c r="P4" s="7" t="inlineStr">
        <is>
          <t xml:space="preserve">DISPONIBLE</t>
        </is>
      </c>
      <c r="Q4" s="10">
        <f>COUNTIF(TablaInventarioGeneral[Estado_Actual],"DISPONIBLE")</f>
      </c>
    </row>
    <row r="5">
      <c r="A5" s="11">
        <f>COUNTA(TablaInventarioGeneral[Codigo_Activo])</f>
      </c>
      <c r="D5" s="11">
        <f>COUNTIF(TablaInventarioGeneral[Estado_Actual],"ASIGNADO")</f>
      </c>
      <c r="G5" s="11">
        <f>COUNTIF(TablaInventarioGeneral[Estado_Actual],"DISPONIBLE")</f>
      </c>
      <c r="J5" s="11">
        <f>COUNTIF(TablaInventarioGeneral[Estado_Actual],"POR ASIGNAR")</f>
      </c>
      <c r="M5" s="11">
        <f>COUNTIF(TablaInventarioGeneral[Estado_Actual],"PERDIDO")</f>
      </c>
      <c r="P5" s="7" t="inlineStr">
        <is>
          <t xml:space="preserve">POR ASIGNAR</t>
        </is>
      </c>
      <c r="Q5" s="10">
        <f>COUNTIF(TablaInventarioGeneral[Estado_Actual],"POR ASIGNAR")</f>
      </c>
    </row>
    <row r="6">
      <c r="P6" s="7" t="inlineStr">
        <is>
          <t xml:space="preserve">PERDIDO</t>
        </is>
      </c>
      <c r="Q6" s="10">
        <f>COUNTIF(TablaInventarioGeneral[Estado_Actual],"PERDIDO")</f>
      </c>
    </row>
    <row r="7">
      <c r="A7" s="3" t="inlineStr">
        <is>
          <t xml:space="preserve">INDICADORES DE PERSONAL</t>
        </is>
      </c>
    </row>
    <row r="8">
      <c r="A8" s="5" t="inlineStr">
        <is>
          <t xml:space="preserve">TOTAL PERSONAL</t>
        </is>
      </c>
      <c r="D8" s="5" t="inlineStr">
        <is>
          <t xml:space="preserve">ACTIVOS</t>
        </is>
      </c>
      <c r="G8" s="5" t="inlineStr">
        <is>
          <t xml:space="preserve">INACTIVOS</t>
        </is>
      </c>
      <c r="J8" s="5" t="inlineStr">
        <is>
          <t xml:space="preserve">SUPERVISORES</t>
        </is>
      </c>
      <c r="M8" s="5" t="inlineStr">
        <is>
          <t xml:space="preserve">ALERTAS</t>
        </is>
      </c>
    </row>
    <row r="9">
      <c r="A9" s="11">
        <f>COUNTA(TablaPersonal[ID_Persona])</f>
      </c>
      <c r="D9" s="11">
        <f>COUNTIF(TablaPersonal[Estado],"ACTIVO")</f>
      </c>
      <c r="G9" s="11">
        <f>COUNTIF(TablaPersonal[Estado],"INACTIVO")</f>
      </c>
      <c r="J9" s="11">
        <f>COUNTIF(TablaPersonal[Rol],"SUPERVISOR")</f>
      </c>
      <c r="M9" s="11">
        <f>COUNTIF(TablaInventarioGeneral[Estado_Actual],"PERDIDO")+COUNTIF(TablaInventarioGeneral[Observaciones],"*DUPLICADO*")</f>
      </c>
    </row>
    <row r="11">
      <c r="A11" s="3" t="inlineStr">
        <is>
          <t xml:space="preserve">CREDENCIALES POR REGIONAL</t>
        </is>
      </c>
      <c r="I11" s="3" t="inlineStr">
        <is>
          <t xml:space="preserve">CREDENCIALES POR SUPERVISOR</t>
        </is>
      </c>
    </row>
    <row r="12">
      <c r="A12" s="1" t="inlineStr">
        <is>
          <t xml:space="preserve">REGIONAL</t>
        </is>
      </c>
      <c r="B12" s="1" t="inlineStr">
        <is>
          <t xml:space="preserve">ASIGNADO</t>
        </is>
      </c>
      <c r="C12" s="1" t="inlineStr">
        <is>
          <t xml:space="preserve">DISPONIBLE</t>
        </is>
      </c>
      <c r="D12" s="1" t="inlineStr">
        <is>
          <t xml:space="preserve">POR ASIGNAR</t>
        </is>
      </c>
      <c r="E12" s="1" t="inlineStr">
        <is>
          <t xml:space="preserve">PERDIDO</t>
        </is>
      </c>
      <c r="F12" s="1" t="inlineStr">
        <is>
          <t xml:space="preserve">TOTAL</t>
        </is>
      </c>
      <c r="G12" s="1" t="inlineStr">
        <is>
          <t xml:space="preserve">% ASIG.</t>
        </is>
      </c>
      <c r="I12" s="1" t="inlineStr">
        <is>
          <t xml:space="preserve">SUPERVISOR</t>
        </is>
      </c>
      <c r="J12" s="1" t="inlineStr">
        <is>
          <t xml:space="preserve">REGIONAL</t>
        </is>
      </c>
      <c r="K12" s="1" t="inlineStr">
        <is>
          <t xml:space="preserve">ASIGNADO</t>
        </is>
      </c>
      <c r="L12" s="1" t="inlineStr">
        <is>
          <t xml:space="preserve">TOTAL</t>
        </is>
      </c>
      <c r="M12" s="1" t="inlineStr">
        <is>
          <t xml:space="preserve">INACTIVOS</t>
        </is>
      </c>
      <c r="N12" s="1" t="inlineStr">
        <is>
          <t xml:space="preserve">% ACTIV.</t>
        </is>
      </c>
    </row>
    <row r="13">
      <c r="A13" s="7" t="inlineStr">
        <is>
          <t xml:space="preserve">COCHABAMBA</t>
        </is>
      </c>
      <c r="B13" s="10">
        <f>COUNTIFS(TablaInventarioGeneral[Regional],$A13,TablaInventarioGeneral[Estado_Actual],"ASIGNADO")</f>
      </c>
      <c r="C13" s="10">
        <f>COUNTIFS(TablaInventarioGeneral[Regional],$A13,TablaInventarioGeneral[Estado_Actual],"DISPONIBLE")</f>
      </c>
      <c r="D13" s="10">
        <f>COUNTIFS(TablaInventarioGeneral[Regional],$A13,TablaInventarioGeneral[Estado_Actual],"POR ASIGNAR")</f>
      </c>
      <c r="E13" s="10">
        <f>COUNTIFS(TablaInventarioGeneral[Regional],$A13,TablaInventarioGeneral[Estado_Actual],"PERDIDO")</f>
      </c>
      <c r="F13" s="10">
        <f>COUNTIF(TablaInventarioGeneral[Regional],$A13)</f>
      </c>
      <c r="G13" s="8">
        <f>IFERROR(B13/F13,0)</f>
      </c>
      <c r="I13" s="7" t="inlineStr">
        <is>
          <t xml:space="preserve">HASIRA DANIELA OSINAGA CHOQUE</t>
        </is>
      </c>
      <c r="J13" s="10" t="inlineStr">
        <is>
          <t xml:space="preserve">COCHABAMBA</t>
        </is>
      </c>
      <c r="K13" s="10">
        <f>COUNTIFS(TablaInventarioGeneral[Supervisor],$I13,TablaInventarioGeneral[Estado_Actual],"ASIGNADO")</f>
      </c>
      <c r="L13" s="10">
        <f>COUNTIF(TablaInventarioGeneral[Supervisor],$I13)</f>
      </c>
      <c r="M13" s="10">
        <f>COUNTIFS(TablaPersonal[Supervisor],$I13,TablaPersonal[Estado],"INACTIVO")</f>
      </c>
      <c r="N13" s="8">
        <f>IFERROR(K13/L13,0)</f>
      </c>
    </row>
    <row r="14">
      <c r="A14" s="7" t="inlineStr">
        <is>
          <t xml:space="preserve">LA PAZ</t>
        </is>
      </c>
      <c r="B14" s="10">
        <f>COUNTIFS(TablaInventarioGeneral[Regional],$A14,TablaInventarioGeneral[Estado_Actual],"ASIGNADO")</f>
      </c>
      <c r="C14" s="10">
        <f>COUNTIFS(TablaInventarioGeneral[Regional],$A14,TablaInventarioGeneral[Estado_Actual],"DISPONIBLE")</f>
      </c>
      <c r="D14" s="10">
        <f>COUNTIFS(TablaInventarioGeneral[Regional],$A14,TablaInventarioGeneral[Estado_Actual],"POR ASIGNAR")</f>
      </c>
      <c r="E14" s="10">
        <f>COUNTIFS(TablaInventarioGeneral[Regional],$A14,TablaInventarioGeneral[Estado_Actual],"PERDIDO")</f>
      </c>
      <c r="F14" s="10">
        <f>COUNTIF(TablaInventarioGeneral[Regional],$A14)</f>
      </c>
      <c r="G14" s="8">
        <f>IFERROR(B14/F14,0)</f>
      </c>
      <c r="I14" s="7" t="inlineStr">
        <is>
          <t xml:space="preserve">PAMELA FANNY CALANI LAURA</t>
        </is>
      </c>
      <c r="J14" s="10" t="inlineStr">
        <is>
          <t xml:space="preserve">COCHABAMBA</t>
        </is>
      </c>
      <c r="K14" s="10">
        <f>COUNTIFS(TablaInventarioGeneral[Supervisor],$I14,TablaInventarioGeneral[Estado_Actual],"ASIGNADO")</f>
      </c>
      <c r="L14" s="10">
        <f>COUNTIF(TablaInventarioGeneral[Supervisor],$I14)</f>
      </c>
      <c r="M14" s="10">
        <f>COUNTIFS(TablaPersonal[Supervisor],$I14,TablaPersonal[Estado],"INACTIVO")</f>
      </c>
      <c r="N14" s="8">
        <f>IFERROR(K14/L14,0)</f>
      </c>
    </row>
    <row r="15">
      <c r="A15" s="7" t="inlineStr">
        <is>
          <t xml:space="preserve">ORURO</t>
        </is>
      </c>
      <c r="B15" s="10">
        <f>COUNTIFS(TablaInventarioGeneral[Regional],$A15,TablaInventarioGeneral[Estado_Actual],"ASIGNADO")</f>
      </c>
      <c r="C15" s="10">
        <f>COUNTIFS(TablaInventarioGeneral[Regional],$A15,TablaInventarioGeneral[Estado_Actual],"DISPONIBLE")</f>
      </c>
      <c r="D15" s="10">
        <f>COUNTIFS(TablaInventarioGeneral[Regional],$A15,TablaInventarioGeneral[Estado_Actual],"POR ASIGNAR")</f>
      </c>
      <c r="E15" s="10">
        <f>COUNTIFS(TablaInventarioGeneral[Regional],$A15,TablaInventarioGeneral[Estado_Actual],"PERDIDO")</f>
      </c>
      <c r="F15" s="10">
        <f>COUNTIF(TablaInventarioGeneral[Regional],$A15)</f>
      </c>
      <c r="G15" s="8">
        <f>IFERROR(B15/F15,0)</f>
      </c>
      <c r="I15" s="7" t="inlineStr">
        <is>
          <t xml:space="preserve">NATALIA VILLARROEL</t>
        </is>
      </c>
      <c r="J15" s="10" t="inlineStr">
        <is>
          <t xml:space="preserve">COCHABAMBA</t>
        </is>
      </c>
      <c r="K15" s="10">
        <f>COUNTIFS(TablaInventarioGeneral[Supervisor],$I15,TablaInventarioGeneral[Estado_Actual],"ASIGNADO")</f>
      </c>
      <c r="L15" s="10">
        <f>COUNTIF(TablaInventarioGeneral[Supervisor],$I15)</f>
      </c>
      <c r="M15" s="10">
        <f>COUNTIFS(TablaPersonal[Supervisor],$I15,TablaPersonal[Estado],"INACTIVO")</f>
      </c>
      <c r="N15" s="8">
        <f>IFERROR(K15/L15,0)</f>
      </c>
    </row>
    <row r="16">
      <c r="A16" s="7" t="inlineStr">
        <is>
          <t xml:space="preserve">SANTA CRUZ</t>
        </is>
      </c>
      <c r="B16" s="10">
        <f>COUNTIFS(TablaInventarioGeneral[Regional],$A16,TablaInventarioGeneral[Estado_Actual],"ASIGNADO")</f>
      </c>
      <c r="C16" s="10">
        <f>COUNTIFS(TablaInventarioGeneral[Regional],$A16,TablaInventarioGeneral[Estado_Actual],"DISPONIBLE")</f>
      </c>
      <c r="D16" s="10">
        <f>COUNTIFS(TablaInventarioGeneral[Regional],$A16,TablaInventarioGeneral[Estado_Actual],"POR ASIGNAR")</f>
      </c>
      <c r="E16" s="10">
        <f>COUNTIFS(TablaInventarioGeneral[Regional],$A16,TablaInventarioGeneral[Estado_Actual],"PERDIDO")</f>
      </c>
      <c r="F16" s="10">
        <f>COUNTIF(TablaInventarioGeneral[Regional],$A16)</f>
      </c>
      <c r="G16" s="8">
        <f>IFERROR(B16/F16,0)</f>
      </c>
      <c r="I16" s="7" t="inlineStr">
        <is>
          <t xml:space="preserve">CLAUDIA SHASKIA CALLE NINA</t>
        </is>
      </c>
      <c r="J16" s="10" t="inlineStr">
        <is>
          <t xml:space="preserve">LA PAZ</t>
        </is>
      </c>
      <c r="K16" s="10">
        <f>COUNTIFS(TablaInventarioGeneral[Supervisor],$I16,TablaInventarioGeneral[Estado_Actual],"ASIGNADO")</f>
      </c>
      <c r="L16" s="10">
        <f>COUNTIF(TablaInventarioGeneral[Supervisor],$I16)</f>
      </c>
      <c r="M16" s="10">
        <f>COUNTIFS(TablaPersonal[Supervisor],$I16,TablaPersonal[Estado],"INACTIVO")</f>
      </c>
      <c r="N16" s="8">
        <f>IFERROR(K16/L16,0)</f>
      </c>
    </row>
    <row r="17">
      <c r="A17" s="7" t="inlineStr">
        <is>
          <t xml:space="preserve">SUCRE</t>
        </is>
      </c>
      <c r="B17" s="10">
        <f>COUNTIFS(TablaInventarioGeneral[Regional],$A17,TablaInventarioGeneral[Estado_Actual],"ASIGNADO")</f>
      </c>
      <c r="C17" s="10">
        <f>COUNTIFS(TablaInventarioGeneral[Regional],$A17,TablaInventarioGeneral[Estado_Actual],"DISPONIBLE")</f>
      </c>
      <c r="D17" s="10">
        <f>COUNTIFS(TablaInventarioGeneral[Regional],$A17,TablaInventarioGeneral[Estado_Actual],"POR ASIGNAR")</f>
      </c>
      <c r="E17" s="10">
        <f>COUNTIFS(TablaInventarioGeneral[Regional],$A17,TablaInventarioGeneral[Estado_Actual],"PERDIDO")</f>
      </c>
      <c r="F17" s="10">
        <f>COUNTIF(TablaInventarioGeneral[Regional],$A17)</f>
      </c>
      <c r="G17" s="8">
        <f>IFERROR(B17/F17,0)</f>
      </c>
      <c r="I17" s="7" t="inlineStr">
        <is>
          <t xml:space="preserve">GERCY EVER ERGUETA KIPPES</t>
        </is>
      </c>
      <c r="J17" s="10" t="inlineStr">
        <is>
          <t xml:space="preserve">LA PAZ</t>
        </is>
      </c>
      <c r="K17" s="10">
        <f>COUNTIFS(TablaInventarioGeneral[Supervisor],$I17,TablaInventarioGeneral[Estado_Actual],"ASIGNADO")</f>
      </c>
      <c r="L17" s="10">
        <f>COUNTIF(TablaInventarioGeneral[Supervisor],$I17)</f>
      </c>
      <c r="M17" s="10">
        <f>COUNTIFS(TablaPersonal[Supervisor],$I17,TablaPersonal[Estado],"INACTIVO")</f>
      </c>
      <c r="N17" s="8">
        <f>IFERROR(K17/L17,0)</f>
      </c>
    </row>
    <row r="18">
      <c r="A18" s="7" t="inlineStr">
        <is>
          <t xml:space="preserve">TARIJA</t>
        </is>
      </c>
      <c r="B18" s="10">
        <f>COUNTIFS(TablaInventarioGeneral[Regional],$A18,TablaInventarioGeneral[Estado_Actual],"ASIGNADO")</f>
      </c>
      <c r="C18" s="10">
        <f>COUNTIFS(TablaInventarioGeneral[Regional],$A18,TablaInventarioGeneral[Estado_Actual],"DISPONIBLE")</f>
      </c>
      <c r="D18" s="10">
        <f>COUNTIFS(TablaInventarioGeneral[Regional],$A18,TablaInventarioGeneral[Estado_Actual],"POR ASIGNAR")</f>
      </c>
      <c r="E18" s="10">
        <f>COUNTIFS(TablaInventarioGeneral[Regional],$A18,TablaInventarioGeneral[Estado_Actual],"PERDIDO")</f>
      </c>
      <c r="F18" s="10">
        <f>COUNTIF(TablaInventarioGeneral[Regional],$A18)</f>
      </c>
      <c r="G18" s="8">
        <f>IFERROR(B18/F18,0)</f>
      </c>
      <c r="I18" s="7" t="inlineStr">
        <is>
          <t xml:space="preserve">JOEL DAVID HUANCA HUANCA</t>
        </is>
      </c>
      <c r="J18" s="10" t="inlineStr">
        <is>
          <t xml:space="preserve">LA PAZ</t>
        </is>
      </c>
      <c r="K18" s="10">
        <f>COUNTIFS(TablaInventarioGeneral[Supervisor],$I18,TablaInventarioGeneral[Estado_Actual],"ASIGNADO")</f>
      </c>
      <c r="L18" s="10">
        <f>COUNTIF(TablaInventarioGeneral[Supervisor],$I18)</f>
      </c>
      <c r="M18" s="10">
        <f>COUNTIFS(TablaPersonal[Supervisor],$I18,TablaPersonal[Estado],"INACTIVO")</f>
      </c>
      <c r="N18" s="8">
        <f>IFERROR(K18/L18,0)</f>
      </c>
    </row>
    <row r="19">
      <c r="A19" s="9" t="inlineStr">
        <is>
          <t xml:space="preserve">TOTAL GENERAL</t>
        </is>
      </c>
      <c r="B19" s="10">
        <f>SUM(B13:B18)</f>
      </c>
      <c r="C19" s="10">
        <f>SUM(C13:C18)</f>
      </c>
      <c r="D19" s="10">
        <f>SUM(D13:D18)</f>
      </c>
      <c r="E19" s="10">
        <f>SUM(E13:E18)</f>
      </c>
      <c r="F19" s="10">
        <f>SUM(F13:F18)</f>
      </c>
      <c r="G19" s="8">
        <f>IFERROR(B19/F19,0)</f>
      </c>
      <c r="I19" s="7" t="inlineStr">
        <is>
          <t xml:space="preserve">MAGALI YESENIA HUANCA HUANCA</t>
        </is>
      </c>
      <c r="J19" s="10" t="inlineStr">
        <is>
          <t xml:space="preserve">LA PAZ</t>
        </is>
      </c>
      <c r="K19" s="10">
        <f>COUNTIFS(TablaInventarioGeneral[Supervisor],$I19,TablaInventarioGeneral[Estado_Actual],"ASIGNADO")</f>
      </c>
      <c r="L19" s="10">
        <f>COUNTIF(TablaInventarioGeneral[Supervisor],$I19)</f>
      </c>
      <c r="M19" s="10">
        <f>COUNTIFS(TablaPersonal[Supervisor],$I19,TablaPersonal[Estado],"INACTIVO")</f>
      </c>
      <c r="N19" s="8">
        <f>IFERROR(K19/L19,0)</f>
      </c>
    </row>
    <row r="20">
      <c r="I20" s="7" t="inlineStr">
        <is>
          <t xml:space="preserve">MILENKO ADRIANA ORDONEZ NUNEZ</t>
        </is>
      </c>
      <c r="J20" s="10" t="inlineStr">
        <is>
          <t xml:space="preserve">LA PAZ</t>
        </is>
      </c>
      <c r="K20" s="10">
        <f>COUNTIFS(TablaInventarioGeneral[Supervisor],$I20,TablaInventarioGeneral[Estado_Actual],"ASIGNADO")</f>
      </c>
      <c r="L20" s="10">
        <f>COUNTIF(TablaInventarioGeneral[Supervisor],$I20)</f>
      </c>
      <c r="M20" s="10">
        <f>COUNTIFS(TablaPersonal[Supervisor],$I20,TablaPersonal[Estado],"INACTIVO")</f>
      </c>
      <c r="N20" s="8">
        <f>IFERROR(K20/L20,0)</f>
      </c>
    </row>
    <row r="21">
      <c r="I21" s="7" t="inlineStr">
        <is>
          <t xml:space="preserve">LIONEL CHABUR</t>
        </is>
      </c>
      <c r="J21" s="10" t="inlineStr">
        <is>
          <t xml:space="preserve">LA PAZ</t>
        </is>
      </c>
      <c r="K21" s="10">
        <f>COUNTIFS(TablaInventarioGeneral[Supervisor],$I21,TablaInventarioGeneral[Estado_Actual],"ASIGNADO")</f>
      </c>
      <c r="L21" s="10">
        <f>COUNTIF(TablaInventarioGeneral[Supervisor],$I21)</f>
      </c>
      <c r="M21" s="10">
        <f>COUNTIFS(TablaPersonal[Supervisor],$I21,TablaPersonal[Estado],"INACTIVO")</f>
      </c>
      <c r="N21" s="8">
        <f>IFERROR(K21/L21,0)</f>
      </c>
    </row>
    <row r="22">
      <c r="I22" s="7" t="inlineStr">
        <is>
          <t xml:space="preserve">MIRIAM ROSA CHAMBI QUISPE</t>
        </is>
      </c>
      <c r="J22" s="10" t="inlineStr">
        <is>
          <t xml:space="preserve">ORURO</t>
        </is>
      </c>
      <c r="K22" s="10">
        <f>COUNTIFS(TablaInventarioGeneral[Supervisor],$I22,TablaInventarioGeneral[Estado_Actual],"ASIGNADO")</f>
      </c>
      <c r="L22" s="10">
        <f>COUNTIF(TablaInventarioGeneral[Supervisor],$I22)</f>
      </c>
      <c r="M22" s="10">
        <f>COUNTIFS(TablaPersonal[Supervisor],$I22,TablaPersonal[Estado],"INACTIVO")</f>
      </c>
      <c r="N22" s="8">
        <f>IFERROR(K22/L22,0)</f>
      </c>
    </row>
    <row r="23">
      <c r="I23" s="7" t="inlineStr">
        <is>
          <t xml:space="preserve">JORGE SAAVEDRA</t>
        </is>
      </c>
      <c r="J23" s="10" t="inlineStr">
        <is>
          <t xml:space="preserve">SANTA CRUZ</t>
        </is>
      </c>
      <c r="K23" s="10">
        <f>COUNTIFS(TablaInventarioGeneral[Supervisor],$I23,TablaInventarioGeneral[Estado_Actual],"ASIGNADO")</f>
      </c>
      <c r="L23" s="10">
        <f>COUNTIF(TablaInventarioGeneral[Supervisor],$I23)</f>
      </c>
      <c r="M23" s="10">
        <f>COUNTIFS(TablaPersonal[Supervisor],$I23,TablaPersonal[Estado],"INACTIVO")</f>
      </c>
      <c r="N23" s="8">
        <f>IFERROR(K23/L23,0)</f>
      </c>
    </row>
    <row r="24">
      <c r="I24" s="7" t="inlineStr">
        <is>
          <t xml:space="preserve">BEATRIZ OVIEDO OVIEDO</t>
        </is>
      </c>
      <c r="J24" s="10" t="inlineStr">
        <is>
          <t xml:space="preserve">SANTA CRUZ</t>
        </is>
      </c>
      <c r="K24" s="10">
        <f>COUNTIFS(TablaInventarioGeneral[Supervisor],$I24,TablaInventarioGeneral[Estado_Actual],"ASIGNADO")</f>
      </c>
      <c r="L24" s="10">
        <f>COUNTIF(TablaInventarioGeneral[Supervisor],$I24)</f>
      </c>
      <c r="M24" s="10">
        <f>COUNTIFS(TablaPersonal[Supervisor],$I24,TablaPersonal[Estado],"INACTIVO")</f>
      </c>
      <c r="N24" s="8">
        <f>IFERROR(K24/L24,0)</f>
      </c>
    </row>
    <row r="25">
      <c r="I25" s="7" t="inlineStr">
        <is>
          <t xml:space="preserve">DELIA JORDAN FACUSSE</t>
        </is>
      </c>
      <c r="J25" s="10" t="inlineStr">
        <is>
          <t xml:space="preserve">SANTA CRUZ</t>
        </is>
      </c>
      <c r="K25" s="10">
        <f>COUNTIFS(TablaInventarioGeneral[Supervisor],$I25,TablaInventarioGeneral[Estado_Actual],"ASIGNADO")</f>
      </c>
      <c r="L25" s="10">
        <f>COUNTIF(TablaInventarioGeneral[Supervisor],$I25)</f>
      </c>
      <c r="M25" s="10">
        <f>COUNTIFS(TablaPersonal[Supervisor],$I25,TablaPersonal[Estado],"INACTIVO")</f>
      </c>
      <c r="N25" s="8">
        <f>IFERROR(K25/L25,0)</f>
      </c>
    </row>
    <row r="26">
      <c r="I26" s="7" t="inlineStr">
        <is>
          <t xml:space="preserve">JOSE GUTIERREZ PEDRAZA</t>
        </is>
      </c>
      <c r="J26" s="10" t="inlineStr">
        <is>
          <t xml:space="preserve">SANTA CRUZ</t>
        </is>
      </c>
      <c r="K26" s="10">
        <f>COUNTIFS(TablaInventarioGeneral[Supervisor],$I26,TablaInventarioGeneral[Estado_Actual],"ASIGNADO")</f>
      </c>
      <c r="L26" s="10">
        <f>COUNTIF(TablaInventarioGeneral[Supervisor],$I26)</f>
      </c>
      <c r="M26" s="10">
        <f>COUNTIFS(TablaPersonal[Supervisor],$I26,TablaPersonal[Estado],"INACTIVO")</f>
      </c>
      <c r="N26" s="8">
        <f>IFERROR(K26/L26,0)</f>
      </c>
    </row>
    <row r="27">
      <c r="I27" s="7" t="inlineStr">
        <is>
          <t xml:space="preserve">JENNY CRISTINA ECHALAR MONTALVO</t>
        </is>
      </c>
      <c r="J27" s="10" t="inlineStr">
        <is>
          <t xml:space="preserve">SUCRE</t>
        </is>
      </c>
      <c r="K27" s="10">
        <f>COUNTIFS(TablaInventarioGeneral[Supervisor],$I27,TablaInventarioGeneral[Estado_Actual],"ASIGNADO")</f>
      </c>
      <c r="L27" s="10">
        <f>COUNTIF(TablaInventarioGeneral[Supervisor],$I27)</f>
      </c>
      <c r="M27" s="10">
        <f>COUNTIFS(TablaPersonal[Supervisor],$I27,TablaPersonal[Estado],"INACTIVO")</f>
      </c>
      <c r="N27" s="8">
        <f>IFERROR(K27/L27,0)</f>
      </c>
    </row>
    <row r="28">
      <c r="I28" s="7" t="inlineStr">
        <is>
          <t xml:space="preserve">MARIA FERNANDA DAZA PALMA</t>
        </is>
      </c>
      <c r="J28" s="10" t="inlineStr">
        <is>
          <t xml:space="preserve">TARIJA</t>
        </is>
      </c>
      <c r="K28" s="10">
        <f>COUNTIFS(TablaInventarioGeneral[Supervisor],$I28,TablaInventarioGeneral[Estado_Actual],"ASIGNADO")</f>
      </c>
      <c r="L28" s="10">
        <f>COUNTIF(TablaInventarioGeneral[Supervisor],$I28)</f>
      </c>
      <c r="M28" s="10">
        <f>COUNTIFS(TablaPersonal[Supervisor],$I28,TablaPersonal[Estado],"INACTIVO")</f>
      </c>
      <c r="N28" s="8">
        <f>IFERROR(K28/L28,0)</f>
      </c>
    </row>
    <row r="31">
      <c r="A31" s="3" t="inlineStr">
        <is>
          <t xml:space="preserve">ULTIMOS MOVIMIENTOS REGISTRADOS</t>
        </is>
      </c>
    </row>
    <row r="32">
      <c r="A32" s="1" t="inlineStr">
        <is>
          <t xml:space="preserve">N_Mov</t>
        </is>
      </c>
      <c r="B32" s="1" t="inlineStr">
        <is>
          <t xml:space="preserve">Fecha</t>
        </is>
      </c>
      <c r="C32" s="1" t="inlineStr">
        <is>
          <t xml:space="preserve">Tipo</t>
        </is>
      </c>
      <c r="D32" s="1" t="inlineStr">
        <is>
          <t xml:space="preserve">Codigo_BEX</t>
        </is>
      </c>
      <c r="E32" s="1" t="inlineStr">
        <is>
          <t xml:space="preserve">Afiliador</t>
        </is>
      </c>
      <c r="F32" s="1" t="inlineStr">
        <is>
          <t xml:space="preserve">Supervisor</t>
        </is>
      </c>
      <c r="G32" s="1" t="inlineStr">
        <is>
          <t xml:space="preserve">Regional</t>
        </is>
      </c>
    </row>
    <row r="33">
      <c r="A33" s="7">
        <f>IFERROR(INDEX(TablaMovimientos[N_Mov],COUNTA(TablaMovimientos[N_Mov])-9),"")</f>
      </c>
      <c r="B33" s="6">
        <f>IFERROR(INDEX(TablaMovimientos[Fecha],COUNTA(TablaMovimientos[N_Mov])-9),"")</f>
      </c>
      <c r="C33" s="7">
        <f>IFERROR(INDEX(TablaMovimientos[Tipo_Movimiento],COUNTA(TablaMovimientos[N_Mov])-9),"")</f>
      </c>
      <c r="D33" s="7">
        <f>IFERROR(INDEX(TablaMovimientos[Codigo_BEX],COUNTA(TablaMovimientos[N_Mov])-9),"")</f>
      </c>
      <c r="E33" s="7">
        <f>IFERROR(INDEX(TablaMovimientos[Afiliador],COUNTA(TablaMovimientos[N_Mov])-9),"")</f>
      </c>
      <c r="F33" s="7">
        <f>IFERROR(INDEX(TablaMovimientos[Supervisor],COUNTA(TablaMovimientos[N_Mov])-9),"")</f>
      </c>
      <c r="G33" s="7">
        <f>IFERROR(INDEX(TablaMovimientos[Regional],COUNTA(TablaMovimientos[N_Mov])-9),"")</f>
      </c>
    </row>
    <row r="34">
      <c r="A34" s="7">
        <f>IFERROR(INDEX(TablaMovimientos[N_Mov],COUNTA(TablaMovimientos[N_Mov])-8),"")</f>
      </c>
      <c r="B34" s="6">
        <f>IFERROR(INDEX(TablaMovimientos[Fecha],COUNTA(TablaMovimientos[N_Mov])-8),"")</f>
      </c>
      <c r="C34" s="7">
        <f>IFERROR(INDEX(TablaMovimientos[Tipo_Movimiento],COUNTA(TablaMovimientos[N_Mov])-8),"")</f>
      </c>
      <c r="D34" s="7">
        <f>IFERROR(INDEX(TablaMovimientos[Codigo_BEX],COUNTA(TablaMovimientos[N_Mov])-8),"")</f>
      </c>
      <c r="E34" s="7">
        <f>IFERROR(INDEX(TablaMovimientos[Afiliador],COUNTA(TablaMovimientos[N_Mov])-8),"")</f>
      </c>
      <c r="F34" s="7">
        <f>IFERROR(INDEX(TablaMovimientos[Supervisor],COUNTA(TablaMovimientos[N_Mov])-8),"")</f>
      </c>
      <c r="G34" s="7">
        <f>IFERROR(INDEX(TablaMovimientos[Regional],COUNTA(TablaMovimientos[N_Mov])-8),"")</f>
      </c>
    </row>
    <row r="35">
      <c r="A35" s="7">
        <f>IFERROR(INDEX(TablaMovimientos[N_Mov],COUNTA(TablaMovimientos[N_Mov])-7),"")</f>
      </c>
      <c r="B35" s="6">
        <f>IFERROR(INDEX(TablaMovimientos[Fecha],COUNTA(TablaMovimientos[N_Mov])-7),"")</f>
      </c>
      <c r="C35" s="7">
        <f>IFERROR(INDEX(TablaMovimientos[Tipo_Movimiento],COUNTA(TablaMovimientos[N_Mov])-7),"")</f>
      </c>
      <c r="D35" s="7">
        <f>IFERROR(INDEX(TablaMovimientos[Codigo_BEX],COUNTA(TablaMovimientos[N_Mov])-7),"")</f>
      </c>
      <c r="E35" s="7">
        <f>IFERROR(INDEX(TablaMovimientos[Afiliador],COUNTA(TablaMovimientos[N_Mov])-7),"")</f>
      </c>
      <c r="F35" s="7">
        <f>IFERROR(INDEX(TablaMovimientos[Supervisor],COUNTA(TablaMovimientos[N_Mov])-7),"")</f>
      </c>
      <c r="G35" s="7">
        <f>IFERROR(INDEX(TablaMovimientos[Regional],COUNTA(TablaMovimientos[N_Mov])-7),"")</f>
      </c>
    </row>
    <row r="36">
      <c r="A36" s="7">
        <f>IFERROR(INDEX(TablaMovimientos[N_Mov],COUNTA(TablaMovimientos[N_Mov])-6),"")</f>
      </c>
      <c r="B36" s="6">
        <f>IFERROR(INDEX(TablaMovimientos[Fecha],COUNTA(TablaMovimientos[N_Mov])-6),"")</f>
      </c>
      <c r="C36" s="7">
        <f>IFERROR(INDEX(TablaMovimientos[Tipo_Movimiento],COUNTA(TablaMovimientos[N_Mov])-6),"")</f>
      </c>
      <c r="D36" s="7">
        <f>IFERROR(INDEX(TablaMovimientos[Codigo_BEX],COUNTA(TablaMovimientos[N_Mov])-6),"")</f>
      </c>
      <c r="E36" s="7">
        <f>IFERROR(INDEX(TablaMovimientos[Afiliador],COUNTA(TablaMovimientos[N_Mov])-6),"")</f>
      </c>
      <c r="F36" s="7">
        <f>IFERROR(INDEX(TablaMovimientos[Supervisor],COUNTA(TablaMovimientos[N_Mov])-6),"")</f>
      </c>
      <c r="G36" s="7">
        <f>IFERROR(INDEX(TablaMovimientos[Regional],COUNTA(TablaMovimientos[N_Mov])-6),"")</f>
      </c>
    </row>
    <row r="37">
      <c r="A37" s="7">
        <f>IFERROR(INDEX(TablaMovimientos[N_Mov],COUNTA(TablaMovimientos[N_Mov])-5),"")</f>
      </c>
      <c r="B37" s="6">
        <f>IFERROR(INDEX(TablaMovimientos[Fecha],COUNTA(TablaMovimientos[N_Mov])-5),"")</f>
      </c>
      <c r="C37" s="7">
        <f>IFERROR(INDEX(TablaMovimientos[Tipo_Movimiento],COUNTA(TablaMovimientos[N_Mov])-5),"")</f>
      </c>
      <c r="D37" s="7">
        <f>IFERROR(INDEX(TablaMovimientos[Codigo_BEX],COUNTA(TablaMovimientos[N_Mov])-5),"")</f>
      </c>
      <c r="E37" s="7">
        <f>IFERROR(INDEX(TablaMovimientos[Afiliador],COUNTA(TablaMovimientos[N_Mov])-5),"")</f>
      </c>
      <c r="F37" s="7">
        <f>IFERROR(INDEX(TablaMovimientos[Supervisor],COUNTA(TablaMovimientos[N_Mov])-5),"")</f>
      </c>
      <c r="G37" s="7">
        <f>IFERROR(INDEX(TablaMovimientos[Regional],COUNTA(TablaMovimientos[N_Mov])-5),"")</f>
      </c>
    </row>
    <row r="38">
      <c r="A38" s="7">
        <f>IFERROR(INDEX(TablaMovimientos[N_Mov],COUNTA(TablaMovimientos[N_Mov])-4),"")</f>
      </c>
      <c r="B38" s="6">
        <f>IFERROR(INDEX(TablaMovimientos[Fecha],COUNTA(TablaMovimientos[N_Mov])-4),"")</f>
      </c>
      <c r="C38" s="7">
        <f>IFERROR(INDEX(TablaMovimientos[Tipo_Movimiento],COUNTA(TablaMovimientos[N_Mov])-4),"")</f>
      </c>
      <c r="D38" s="7">
        <f>IFERROR(INDEX(TablaMovimientos[Codigo_BEX],COUNTA(TablaMovimientos[N_Mov])-4),"")</f>
      </c>
      <c r="E38" s="7">
        <f>IFERROR(INDEX(TablaMovimientos[Afiliador],COUNTA(TablaMovimientos[N_Mov])-4),"")</f>
      </c>
      <c r="F38" s="7">
        <f>IFERROR(INDEX(TablaMovimientos[Supervisor],COUNTA(TablaMovimientos[N_Mov])-4),"")</f>
      </c>
      <c r="G38" s="7">
        <f>IFERROR(INDEX(TablaMovimientos[Regional],COUNTA(TablaMovimientos[N_Mov])-4),"")</f>
      </c>
    </row>
    <row r="39">
      <c r="A39" s="7">
        <f>IFERROR(INDEX(TablaMovimientos[N_Mov],COUNTA(TablaMovimientos[N_Mov])-3),"")</f>
      </c>
      <c r="B39" s="6">
        <f>IFERROR(INDEX(TablaMovimientos[Fecha],COUNTA(TablaMovimientos[N_Mov])-3),"")</f>
      </c>
      <c r="C39" s="7">
        <f>IFERROR(INDEX(TablaMovimientos[Tipo_Movimiento],COUNTA(TablaMovimientos[N_Mov])-3),"")</f>
      </c>
      <c r="D39" s="7">
        <f>IFERROR(INDEX(TablaMovimientos[Codigo_BEX],COUNTA(TablaMovimientos[N_Mov])-3),"")</f>
      </c>
      <c r="E39" s="7">
        <f>IFERROR(INDEX(TablaMovimientos[Afiliador],COUNTA(TablaMovimientos[N_Mov])-3),"")</f>
      </c>
      <c r="F39" s="7">
        <f>IFERROR(INDEX(TablaMovimientos[Supervisor],COUNTA(TablaMovimientos[N_Mov])-3),"")</f>
      </c>
      <c r="G39" s="7">
        <f>IFERROR(INDEX(TablaMovimientos[Regional],COUNTA(TablaMovimientos[N_Mov])-3),"")</f>
      </c>
    </row>
    <row r="40">
      <c r="A40" s="7">
        <f>IFERROR(INDEX(TablaMovimientos[N_Mov],COUNTA(TablaMovimientos[N_Mov])-2),"")</f>
      </c>
      <c r="B40" s="6">
        <f>IFERROR(INDEX(TablaMovimientos[Fecha],COUNTA(TablaMovimientos[N_Mov])-2),"")</f>
      </c>
      <c r="C40" s="7">
        <f>IFERROR(INDEX(TablaMovimientos[Tipo_Movimiento],COUNTA(TablaMovimientos[N_Mov])-2),"")</f>
      </c>
      <c r="D40" s="7">
        <f>IFERROR(INDEX(TablaMovimientos[Codigo_BEX],COUNTA(TablaMovimientos[N_Mov])-2),"")</f>
      </c>
      <c r="E40" s="7">
        <f>IFERROR(INDEX(TablaMovimientos[Afiliador],COUNTA(TablaMovimientos[N_Mov])-2),"")</f>
      </c>
      <c r="F40" s="7">
        <f>IFERROR(INDEX(TablaMovimientos[Supervisor],COUNTA(TablaMovimientos[N_Mov])-2),"")</f>
      </c>
      <c r="G40" s="7">
        <f>IFERROR(INDEX(TablaMovimientos[Regional],COUNTA(TablaMovimientos[N_Mov])-2),"")</f>
      </c>
    </row>
    <row r="41">
      <c r="A41" s="7">
        <f>IFERROR(INDEX(TablaMovimientos[N_Mov],COUNTA(TablaMovimientos[N_Mov])-1),"")</f>
      </c>
      <c r="B41" s="6">
        <f>IFERROR(INDEX(TablaMovimientos[Fecha],COUNTA(TablaMovimientos[N_Mov])-1),"")</f>
      </c>
      <c r="C41" s="7">
        <f>IFERROR(INDEX(TablaMovimientos[Tipo_Movimiento],COUNTA(TablaMovimientos[N_Mov])-1),"")</f>
      </c>
      <c r="D41" s="7">
        <f>IFERROR(INDEX(TablaMovimientos[Codigo_BEX],COUNTA(TablaMovimientos[N_Mov])-1),"")</f>
      </c>
      <c r="E41" s="7">
        <f>IFERROR(INDEX(TablaMovimientos[Afiliador],COUNTA(TablaMovimientos[N_Mov])-1),"")</f>
      </c>
      <c r="F41" s="7">
        <f>IFERROR(INDEX(TablaMovimientos[Supervisor],COUNTA(TablaMovimientos[N_Mov])-1),"")</f>
      </c>
      <c r="G41" s="7">
        <f>IFERROR(INDEX(TablaMovimientos[Regional],COUNTA(TablaMovimientos[N_Mov])-1),"")</f>
      </c>
    </row>
    <row r="42">
      <c r="A42" s="7">
        <f>IFERROR(INDEX(TablaMovimientos[N_Mov],COUNTA(TablaMovimientos[N_Mov])+0),"")</f>
      </c>
      <c r="B42" s="6">
        <f>IFERROR(INDEX(TablaMovimientos[Fecha],COUNTA(TablaMovimientos[N_Mov])+0),"")</f>
      </c>
      <c r="C42" s="7">
        <f>IFERROR(INDEX(TablaMovimientos[Tipo_Movimiento],COUNTA(TablaMovimientos[N_Mov])+0),"")</f>
      </c>
      <c r="D42" s="7">
        <f>IFERROR(INDEX(TablaMovimientos[Codigo_BEX],COUNTA(TablaMovimientos[N_Mov])+0),"")</f>
      </c>
      <c r="E42" s="7">
        <f>IFERROR(INDEX(TablaMovimientos[Afiliador],COUNTA(TablaMovimientos[N_Mov])+0),"")</f>
      </c>
      <c r="F42" s="7">
        <f>IFERROR(INDEX(TablaMovimientos[Supervisor],COUNTA(TablaMovimientos[N_Mov])+0),"")</f>
      </c>
      <c r="G42" s="7">
        <f>IFERROR(INDEX(TablaMovimientos[Regional],COUNTA(TablaMovimientos[N_Mov])+0),"")</f>
      </c>
    </row>
  </sheetData>
  <mergeCells count="26">
    <mergeCell ref="A1:N1"/>
    <mergeCell ref="A3:N3"/>
    <mergeCell ref="A4:B4"/>
    <mergeCell ref="A5:B5"/>
    <mergeCell ref="D4:E4"/>
    <mergeCell ref="D5:E5"/>
    <mergeCell ref="G4:H4"/>
    <mergeCell ref="G5:H5"/>
    <mergeCell ref="J4:K4"/>
    <mergeCell ref="J5:K5"/>
    <mergeCell ref="M4:N4"/>
    <mergeCell ref="M5:N5"/>
    <mergeCell ref="A7:N7"/>
    <mergeCell ref="A8:B8"/>
    <mergeCell ref="A9:B9"/>
    <mergeCell ref="D8:E8"/>
    <mergeCell ref="D9:E9"/>
    <mergeCell ref="G8:H8"/>
    <mergeCell ref="G9:H9"/>
    <mergeCell ref="J8:K8"/>
    <mergeCell ref="J9:K9"/>
    <mergeCell ref="M8:N8"/>
    <mergeCell ref="M9:N9"/>
    <mergeCell ref="A11:G11"/>
    <mergeCell ref="I11:N11"/>
    <mergeCell ref="A31:G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cols>
    <col min="1" max="1" width="3.00" customWidth="1"/>
    <col min="2" max="2" width="26.00" customWidth="1"/>
    <col min="3" max="3" width="42.00" customWidth="1"/>
    <col min="4" max="4" width="18.00" customWidth="1"/>
    <col min="5" max="5" width="16.00" customWidth="1"/>
    <col min="6" max="6" width="16.00" customWidth="1"/>
    <col min="7" max="7" width="30.00" customWidth="1"/>
    <col min="8" max="8" width="30.00" customWidth="1"/>
    <col min="9" max="9" width="16.00" customWidth="1"/>
  </cols>
  <sheetData>
    <row r="1">
      <c r="A1" s="2" t="inlineStr">
        <is>
          <t xml:space="preserve">BUSCADOR INTELIGENTE DE ACTIVOS  -  Sistema BEX</t>
        </is>
      </c>
    </row>
    <row r="3">
      <c r="B3" s="9" t="inlineStr">
        <is>
          <t xml:space="preserve">BUSCAR CODIGO BEX:</t>
        </is>
      </c>
      <c r="C3" s="11" t="inlineStr">
        <is>
          <t xml:space="preserve"/>
        </is>
      </c>
      <c r="D3" t="inlineStr">
        <is>
          <t xml:space="preserve">&lt;- escriba el codigo BEX (ej: BEX-0152)</t>
        </is>
      </c>
    </row>
    <row r="4">
      <c r="B4" s="9" t="inlineStr">
        <is>
          <t xml:space="preserve">BUSCAR NOMBRE / TELEFONO:</t>
        </is>
      </c>
      <c r="C4" s="11" t="inlineStr">
        <is>
          <t xml:space="preserve"/>
        </is>
      </c>
      <c r="D4" t="inlineStr">
        <is>
          <t xml:space="preserve">&lt;- escriba nombre o telefono</t>
        </is>
      </c>
    </row>
    <row r="6">
      <c r="A6" s="3" t="inlineStr">
        <is>
          <t xml:space="preserve">RESULTADO  -  BUSQUEDA POR CODIGO BEX</t>
        </is>
      </c>
    </row>
    <row r="7">
      <c r="B7" s="9" t="inlineStr">
        <is>
          <t xml:space="preserve">CODIGO BEX:</t>
        </is>
      </c>
      <c r="C7" s="7">
        <f>IF($C$3="","-",IFERROR(_xlfn.XLOOKUP($C$3,TablaInventarioGeneral[Codigo_Activo],TablaInventarioGeneral[Codigo_Activo]),"NO ENCONTRADO"))</f>
      </c>
    </row>
    <row r="8">
      <c r="B8" s="9" t="inlineStr">
        <is>
          <t xml:space="preserve">GENERACION:</t>
        </is>
      </c>
      <c r="C8" s="7">
        <f>IF($C$3="","-",IFERROR(_xlfn.XLOOKUP($C$3,TablaInventarioGeneral[Codigo_Activo],TablaInventarioGeneral[Generacion]),"-"))</f>
      </c>
    </row>
    <row r="9">
      <c r="B9" s="9" t="inlineStr">
        <is>
          <t xml:space="preserve">ESTADO:</t>
        </is>
      </c>
      <c r="C9" s="7">
        <f>IF($C$3="","-",IFERROR(IF(_xlfn.XLOOKUP($C$3,TablaInventarioGeneral[Codigo_Activo],TablaInventarioGeneral[Estado_Actual])="DISPONIBLE","DISPONIBLE EN OFICINA",IF(_xlfn.XLOOKUP($C$3,TablaInventarioGeneral[Codigo_Activo],TablaInventarioGeneral[Estado_Actual])="PERDIDO","PERDIDA",_xlfn.XLOOKUP($C$3,TablaInventarioGeneral[Codigo_Activo],TablaInventarioGeneral[Estado_Actual]))),"NO ENCONTRADO"))</f>
      </c>
    </row>
    <row r="10">
      <c r="B10" s="9" t="inlineStr">
        <is>
          <t xml:space="preserve">RESPONSABLE ACTUAL:</t>
        </is>
      </c>
      <c r="C10" s="7">
        <f>IF($C$3="","-",IFERROR(_xlfn.XLOOKUP($C$3,TablaInventarioGeneral[Codigo_Activo],TablaInventarioGeneral[Responsable_Actual]),"-"))</f>
      </c>
    </row>
    <row r="11">
      <c r="B11" s="9" t="inlineStr">
        <is>
          <t xml:space="preserve">TELEFONO:</t>
        </is>
      </c>
      <c r="C11" s="7">
        <f>IF($C$3="","-",IFERROR(_xlfn.XLOOKUP($C$3,TablaInventarioGeneral[Codigo_Activo],TablaInventarioGeneral[Telefono]),"-"))</f>
      </c>
    </row>
    <row r="12">
      <c r="B12" s="9" t="inlineStr">
        <is>
          <t xml:space="preserve">SUPERVISOR:</t>
        </is>
      </c>
      <c r="C12" s="7">
        <f>IF($C$3="","-",IFERROR(_xlfn.XLOOKUP($C$3,TablaInventarioGeneral[Codigo_Activo],TablaInventarioGeneral[Supervisor]),"-"))</f>
      </c>
    </row>
    <row r="13">
      <c r="B13" s="9" t="inlineStr">
        <is>
          <t xml:space="preserve">REGIONAL:</t>
        </is>
      </c>
      <c r="C13" s="7">
        <f>IF($C$3="","-",IFERROR(_xlfn.XLOOKUP($C$3,TablaInventarioGeneral[Codigo_Activo],TablaInventarioGeneral[Regional]),"-"))</f>
      </c>
    </row>
    <row r="14">
      <c r="B14" s="9" t="inlineStr">
        <is>
          <t xml:space="preserve">FECHA ASIGNACION:</t>
        </is>
      </c>
      <c r="C14" s="6">
        <f>IF($C$3="","-",IFERROR(_xlfn.XLOOKUP($C$3,TablaInventarioGeneral[Codigo_Activo],TablaInventarioGeneral[Fecha_Ultima_Asignacion]),"-"))</f>
      </c>
    </row>
    <row r="15">
      <c r="B15" s="9" t="inlineStr">
        <is>
          <t xml:space="preserve">CANTIDAD PERDIDAS:</t>
        </is>
      </c>
      <c r="C15" s="10">
        <f>IF($C$3="","-",IFERROR(_xlfn.XLOOKUP($C$3,TablaInventarioGeneral[Codigo_Activo],TablaInventarioGeneral[Cantidad_Perdidas]),"-"))</f>
      </c>
    </row>
    <row r="16">
      <c r="B16" s="9" t="inlineStr">
        <is>
          <t xml:space="preserve">OBSERVACIONES:</t>
        </is>
      </c>
      <c r="C16" s="7">
        <f>IF($C$3="","-",IFERROR(_xlfn.XLOOKUP($C$3,TablaInventarioGeneral[Codigo_Activo],TablaInventarioGeneral[Observaciones]),"-"))</f>
      </c>
    </row>
    <row r="18">
      <c r="A18" s="3" t="inlineStr">
        <is>
          <t xml:space="preserve">RESULTADO  -  BUSQUEDA POR NOMBRE / TELEFONO</t>
        </is>
      </c>
    </row>
    <row r="19">
      <c r="B19" s="9" t="inlineStr">
        <is>
          <t xml:space="preserve">NOMBRE COMPLETO:</t>
        </is>
      </c>
      <c r="C19" s="7">
        <f>IF($C$4="","-",IFERROR(IFERROR(_xlfn.XLOOKUP($C$4,TablaPersonal[Nombres_Apellidos],TablaPersonal[Nombres_Apellidos]),_xlfn.XLOOKUP($C$4,TablaPersonal[Telefono],TablaPersonal[Nombres_Apellidos])),"NO ENCONTRADO"))</f>
      </c>
    </row>
    <row r="20">
      <c r="B20" s="9" t="inlineStr">
        <is>
          <t xml:space="preserve">TELEFONO:</t>
        </is>
      </c>
      <c r="C20" s="7">
        <f>IF($C$4="","-",IFERROR(_xlfn.XLOOKUP($C$19,TablaPersonal[Nombres_Apellidos],TablaPersonal[Telefono]),"-"))</f>
      </c>
    </row>
    <row r="21">
      <c r="B21" s="9" t="inlineStr">
        <is>
          <t xml:space="preserve">ROL:</t>
        </is>
      </c>
      <c r="C21" s="7">
        <f>IF($C$4="","-",IFERROR(_xlfn.XLOOKUP($C$19,TablaPersonal[Nombres_Apellidos],TablaPersonal[Rol]),"-"))</f>
      </c>
    </row>
    <row r="22">
      <c r="B22" s="9" t="inlineStr">
        <is>
          <t xml:space="preserve">SUPERVISOR:</t>
        </is>
      </c>
      <c r="C22" s="7">
        <f>IF($C$4="","-",IFERROR(_xlfn.XLOOKUP($C$19,TablaPersonal[Nombres_Apellidos],TablaPersonal[Supervisor]),"-"))</f>
      </c>
    </row>
    <row r="23">
      <c r="B23" s="9" t="inlineStr">
        <is>
          <t xml:space="preserve">REGIONAL:</t>
        </is>
      </c>
      <c r="C23" s="7">
        <f>IF($C$4="","-",IFERROR(_xlfn.XLOOKUP($C$19,TablaPersonal[Nombres_Apellidos],TablaPersonal[Regional]),"-"))</f>
      </c>
    </row>
    <row r="24">
      <c r="B24" s="9" t="inlineStr">
        <is>
          <t xml:space="preserve">ESTADO:</t>
        </is>
      </c>
      <c r="C24" s="7">
        <f>IF($C$4="","-",IFERROR(_xlfn.XLOOKUP($C$19,TablaPersonal[Nombres_Apellidos],TablaPersonal[Estado]),"-"))</f>
      </c>
    </row>
    <row r="25">
      <c r="B25" s="9" t="inlineStr">
        <is>
          <t xml:space="preserve">CREDENCIAL ACTUAL:</t>
        </is>
      </c>
      <c r="C25" s="7">
        <f>IF($C$4="","-",IFERROR(_xlfn.XLOOKUP($C$19,TablaPersonal[Nombres_Apellidos],TablaPersonal[Credencial_Actual]),"-"))</f>
      </c>
    </row>
    <row r="26">
      <c r="B26" s="9" t="inlineStr">
        <is>
          <t xml:space="preserve">OBSERVACIONES:</t>
        </is>
      </c>
      <c r="C26" s="7">
        <f>IF($C$4="","-",IFERROR(_xlfn.XLOOKUP($C$19,TablaPersonal[Nombres_Apellidos],TablaPersonal[Observaciones]),"-"))</f>
      </c>
    </row>
    <row r="28">
      <c r="A28" s="3" t="inlineStr">
        <is>
          <t xml:space="preserve">HISTORIAL DE MOVIMIENTOS DE LA CREDENCIAL (codigo en C3)</t>
        </is>
      </c>
    </row>
    <row r="29">
      <c r="A29" s="1" t="inlineStr">
        <is>
          <t xml:space="preserve">N_Mov</t>
        </is>
      </c>
      <c r="B29" s="1" t="inlineStr">
        <is>
          <t xml:space="preserve">Fecha</t>
        </is>
      </c>
      <c r="C29" s="1" t="inlineStr">
        <is>
          <t xml:space="preserve">Tipo</t>
        </is>
      </c>
      <c r="D29" s="1" t="inlineStr">
        <is>
          <t xml:space="preserve">Codigo_BEX</t>
        </is>
      </c>
      <c r="E29" s="1" t="inlineStr">
        <is>
          <t xml:space="preserve">Afiliador</t>
        </is>
      </c>
      <c r="F29" s="1" t="inlineStr">
        <is>
          <t xml:space="preserve">Supervisor</t>
        </is>
      </c>
      <c r="G29" s="1" t="inlineStr">
        <is>
          <t xml:space="preserve">Regional</t>
        </is>
      </c>
      <c r="H29" s="1" t="inlineStr">
        <is>
          <t xml:space="preserve">Observaciones</t>
        </is>
      </c>
      <c r="I29" s="1" t="inlineStr">
        <is>
          <t xml:space="preserve">Registrado_Por</t>
        </is>
      </c>
    </row>
    <row r="30">
      <c r="A30" s="7" cm="1">
        <f>IFERROR(_xlfn._xlws.FILTER(TablaMovimientos,TablaMovimientos[Codigo_BEX]=$C$3),"Sin movimientos para este codigo / escriba un BEX en C3")</f>
      </c>
    </row>
  </sheetData>
  <mergeCells count="22">
    <mergeCell ref="A1:I1"/>
    <mergeCell ref="A6:I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A18:I18"/>
    <mergeCell ref="C19:E19"/>
    <mergeCell ref="C20:E20"/>
    <mergeCell ref="C21:E21"/>
    <mergeCell ref="C22:E22"/>
    <mergeCell ref="C23:E23"/>
    <mergeCell ref="C24:E24"/>
    <mergeCell ref="C25:E25"/>
    <mergeCell ref="C26:E26"/>
    <mergeCell ref="A28:I28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L178"/>
  <sheetViews>
    <sheetView workbookViewId="0">
      <pane xSplit="0" ySplit="1" topLeftCell="A2" activePane="bottomRight" state="frozen"/>
      <selection pane="bottomRight"/>
    </sheetView>
  </sheetViews>
  <sheetFormatPr defaultRowHeight="15"/>
  <cols>
    <col min="1" max="1" width="14.00" customWidth="1"/>
    <col min="2" max="2" width="18.00" customWidth="1"/>
    <col min="3" max="3" width="14.00" customWidth="1"/>
    <col min="4" max="4" width="34.00" customWidth="1"/>
    <col min="5" max="5" width="14.00" customWidth="1"/>
    <col min="6" max="6" width="30.00" customWidth="1"/>
    <col min="7" max="7" width="13.00" customWidth="1"/>
    <col min="8" max="8" width="16.00" customWidth="1"/>
    <col min="9" max="9" width="16.00" customWidth="1"/>
    <col min="10" max="10" width="12.00" customWidth="1"/>
    <col min="11" max="11" width="11.00" customWidth="1"/>
    <col min="12" max="12" width="40.00" customWidth="1"/>
  </cols>
  <sheetData>
    <row r="1">
      <c r="A1" s="1" t="inlineStr">
        <is>
          <t xml:space="preserve">Codigo_Activo</t>
        </is>
      </c>
      <c r="B1" s="1" t="inlineStr">
        <is>
          <t xml:space="preserve">Generacion</t>
        </is>
      </c>
      <c r="C1" s="1" t="inlineStr">
        <is>
          <t xml:space="preserve">Estado_Actual</t>
        </is>
      </c>
      <c r="D1" s="1" t="inlineStr">
        <is>
          <t xml:space="preserve">Responsable_Actual</t>
        </is>
      </c>
      <c r="E1" s="1" t="inlineStr">
        <is>
          <t xml:space="preserve">Telefono</t>
        </is>
      </c>
      <c r="F1" s="1" t="inlineStr">
        <is>
          <t xml:space="preserve">Supervisor</t>
        </is>
      </c>
      <c r="G1" s="1" t="inlineStr">
        <is>
          <t xml:space="preserve">Regional</t>
        </is>
      </c>
      <c r="H1" s="1" t="inlineStr">
        <is>
          <t xml:space="preserve">Fecha_Ultima_Asignacion</t>
        </is>
      </c>
      <c r="I1" s="1" t="inlineStr">
        <is>
          <t xml:space="preserve">Fecha_Ultima_Devolucion</t>
        </is>
      </c>
      <c r="J1" s="1" t="inlineStr">
        <is>
          <t xml:space="preserve">Cantidad_Perdidas</t>
        </is>
      </c>
      <c r="K1" s="1" t="inlineStr">
        <is>
          <t xml:space="preserve">Dias_En_Uso</t>
        </is>
      </c>
      <c r="L1" s="1" t="inlineStr">
        <is>
          <t xml:space="preserve">Observaciones</t>
        </is>
      </c>
    </row>
    <row r="2">
      <c r="A2" s="7" t="inlineStr">
        <is>
          <t xml:space="preserve">BEX-0011</t>
        </is>
      </c>
      <c r="B2" s="7" t="inlineStr">
        <is>
          <t xml:space="preserve">LEGACY (BEX-0xxx)</t>
        </is>
      </c>
      <c r="C2" s="10" t="inlineStr">
        <is>
          <t xml:space="preserve">ASIGNADO</t>
        </is>
      </c>
      <c r="D2" s="7" t="inlineStr">
        <is>
          <t xml:space="preserve">VLADIMIR SUTURI TOCOCARI</t>
        </is>
      </c>
      <c r="E2" s="10">
        <f>IFERROR(_xlfn.XLOOKUP([@Responsable_Actual],TablaPersonal[Nombres_Apellidos],TablaPersonal[Telefono]),"POR REGISTRAR")</f>
      </c>
      <c r="F2" s="7" t="inlineStr">
        <is>
          <t xml:space="preserve">PAMELA FANNY CALANI LAURA</t>
        </is>
      </c>
      <c r="G2" s="7" t="inlineStr">
        <is>
          <t xml:space="preserve">COCHABAMBA</t>
        </is>
      </c>
      <c r="H2" s="6">
        <f>IF(COUNTIFS(TablaMovimientos[Codigo_BEX],[@Codigo_Activo])=0,"",_xlfn.MAXIFS(TablaMovimientos[Fecha],TablaMovimientos[Codigo_BEX],[@Codigo_Activo]))</f>
      </c>
      <c r="I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2" s="10">
        <f>COUNTIFS(TablaMovimientos[Codigo_BEX],[@Codigo_Activo],TablaMovimientos[Tipo_Movimiento],"PERDIDA")</f>
      </c>
      <c r="K2" s="10">
        <f>IF(NOT(ISNUMBER([@Fecha_Ultima_Asignacion])),"",TODAY()-[@Fecha_Ultima_Asignacion])</f>
      </c>
      <c r="L2" s="7" t="inlineStr">
        <is>
          <t xml:space="preserve"/>
        </is>
      </c>
    </row>
    <row r="3">
      <c r="A3" s="7" t="inlineStr">
        <is>
          <t xml:space="preserve">BEX-0012</t>
        </is>
      </c>
      <c r="B3" s="7" t="inlineStr">
        <is>
          <t xml:space="preserve">LEGACY (BEX-0xxx)</t>
        </is>
      </c>
      <c r="C3" s="10" t="inlineStr">
        <is>
          <t xml:space="preserve">ASIGNADO</t>
        </is>
      </c>
      <c r="D3" s="7" t="inlineStr">
        <is>
          <t xml:space="preserve">ROSIELVA ALDANA</t>
        </is>
      </c>
      <c r="E3" s="10">
        <f>IFERROR(_xlfn.XLOOKUP([@Responsable_Actual],TablaPersonal[Nombres_Apellidos],TablaPersonal[Telefono]),"POR REGISTRAR")</f>
      </c>
      <c r="F3" s="7" t="inlineStr">
        <is>
          <t xml:space="preserve">PAMELA FANNY CALANI LAURA</t>
        </is>
      </c>
      <c r="G3" s="7" t="inlineStr">
        <is>
          <t xml:space="preserve">COCHABAMBA</t>
        </is>
      </c>
      <c r="H3" s="6">
        <f>IF(COUNTIFS(TablaMovimientos[Codigo_BEX],[@Codigo_Activo])=0,"",_xlfn.MAXIFS(TablaMovimientos[Fecha],TablaMovimientos[Codigo_BEX],[@Codigo_Activo]))</f>
      </c>
      <c r="I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3" s="10">
        <f>COUNTIFS(TablaMovimientos[Codigo_BEX],[@Codigo_Activo],TablaMovimientos[Tipo_Movimiento],"PERDIDA")</f>
      </c>
      <c r="K3" s="10">
        <f>IF(NOT(ISNUMBER([@Fecha_Ultima_Asignacion])),"",TODAY()-[@Fecha_Ultima_Asignacion])</f>
      </c>
      <c r="L3" s="7" t="inlineStr">
        <is>
          <t xml:space="preserve"/>
        </is>
      </c>
    </row>
    <row r="4">
      <c r="A4" s="7" t="inlineStr">
        <is>
          <t xml:space="preserve">BEX-0013</t>
        </is>
      </c>
      <c r="B4" s="7" t="inlineStr">
        <is>
          <t xml:space="preserve">LEGACY (BEX-0xxx)</t>
        </is>
      </c>
      <c r="C4" s="10" t="inlineStr">
        <is>
          <t xml:space="preserve">ASIGNADO</t>
        </is>
      </c>
      <c r="D4" s="7" t="inlineStr">
        <is>
          <t xml:space="preserve">VANIA GRAGEDA ESPINOZA</t>
        </is>
      </c>
      <c r="E4" s="10">
        <f>IFERROR(_xlfn.XLOOKUP([@Responsable_Actual],TablaPersonal[Nombres_Apellidos],TablaPersonal[Telefono]),"POR REGISTRAR")</f>
      </c>
      <c r="F4" s="7" t="inlineStr">
        <is>
          <t xml:space="preserve">PAMELA FANNY CALANI LAURA</t>
        </is>
      </c>
      <c r="G4" s="7" t="inlineStr">
        <is>
          <t xml:space="preserve">COCHABAMBA</t>
        </is>
      </c>
      <c r="H4" s="6">
        <f>IF(COUNTIFS(TablaMovimientos[Codigo_BEX],[@Codigo_Activo])=0,"",_xlfn.MAXIFS(TablaMovimientos[Fecha],TablaMovimientos[Codigo_BEX],[@Codigo_Activo]))</f>
      </c>
      <c r="I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4" s="10">
        <f>COUNTIFS(TablaMovimientos[Codigo_BEX],[@Codigo_Activo],TablaMovimientos[Tipo_Movimiento],"PERDIDA")</f>
      </c>
      <c r="K4" s="10">
        <f>IF(NOT(ISNUMBER([@Fecha_Ultima_Asignacion])),"",TODAY()-[@Fecha_Ultima_Asignacion])</f>
      </c>
      <c r="L4" s="7" t="inlineStr">
        <is>
          <t xml:space="preserve"/>
        </is>
      </c>
    </row>
    <row r="5">
      <c r="A5" s="7" t="inlineStr">
        <is>
          <t xml:space="preserve">BEX-0014</t>
        </is>
      </c>
      <c r="B5" s="7" t="inlineStr">
        <is>
          <t xml:space="preserve">LEGACY (BEX-0xxx)</t>
        </is>
      </c>
      <c r="C5" s="10" t="inlineStr">
        <is>
          <t xml:space="preserve">ASIGNADO</t>
        </is>
      </c>
      <c r="D5" s="7" t="inlineStr">
        <is>
          <t xml:space="preserve">ALAN GUSTAVO ARNEZ TORO</t>
        </is>
      </c>
      <c r="E5" s="10">
        <f>IFERROR(_xlfn.XLOOKUP([@Responsable_Actual],TablaPersonal[Nombres_Apellidos],TablaPersonal[Telefono]),"POR REGISTRAR")</f>
      </c>
      <c r="F5" s="7" t="inlineStr">
        <is>
          <t xml:space="preserve">PAMELA FANNY CALANI LAURA</t>
        </is>
      </c>
      <c r="G5" s="7" t="inlineStr">
        <is>
          <t xml:space="preserve">COCHABAMBA</t>
        </is>
      </c>
      <c r="H5" s="6">
        <f>IF(COUNTIFS(TablaMovimientos[Codigo_BEX],[@Codigo_Activo])=0,"",_xlfn.MAXIFS(TablaMovimientos[Fecha],TablaMovimientos[Codigo_BEX],[@Codigo_Activo]))</f>
      </c>
      <c r="I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5" s="10">
        <f>COUNTIFS(TablaMovimientos[Codigo_BEX],[@Codigo_Activo],TablaMovimientos[Tipo_Movimiento],"PERDIDA")</f>
      </c>
      <c r="K5" s="10">
        <f>IF(NOT(ISNUMBER([@Fecha_Ultima_Asignacion])),"",TODAY()-[@Fecha_Ultima_Asignacion])</f>
      </c>
      <c r="L5" s="7" t="inlineStr">
        <is>
          <t xml:space="preserve"/>
        </is>
      </c>
    </row>
    <row r="6">
      <c r="A6" s="7" t="inlineStr">
        <is>
          <t xml:space="preserve">BEX-0015</t>
        </is>
      </c>
      <c r="B6" s="7" t="inlineStr">
        <is>
          <t xml:space="preserve">LEGACY (BEX-0xxx)</t>
        </is>
      </c>
      <c r="C6" s="10" t="inlineStr">
        <is>
          <t xml:space="preserve">DISPONIBLE</t>
        </is>
      </c>
      <c r="D6" s="7" t="inlineStr">
        <is>
          <t xml:space="preserve">NO ASIGNADO</t>
        </is>
      </c>
      <c r="E6" s="10">
        <f>IFERROR(_xlfn.XLOOKUP([@Responsable_Actual],TablaPersonal[Nombres_Apellidos],TablaPersonal[Telefono]),"POR REGISTRAR")</f>
      </c>
      <c r="F6" s="7" t="inlineStr">
        <is>
          <t xml:space="preserve">PAMELA FANNY CALANI LAURA</t>
        </is>
      </c>
      <c r="G6" s="7" t="inlineStr">
        <is>
          <t xml:space="preserve">COCHABAMBA</t>
        </is>
      </c>
      <c r="H6" s="6">
        <f>IF(COUNTIFS(TablaMovimientos[Codigo_BEX],[@Codigo_Activo])=0,"",_xlfn.MAXIFS(TablaMovimientos[Fecha],TablaMovimientos[Codigo_BEX],[@Codigo_Activo]))</f>
      </c>
      <c r="I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6" s="10">
        <f>COUNTIFS(TablaMovimientos[Codigo_BEX],[@Codigo_Activo],TablaMovimientos[Tipo_Movimiento],"PERDIDA")</f>
      </c>
      <c r="K6" s="10">
        <f>IF(NOT(ISNUMBER([@Fecha_Ultima_Asignacion])),"",TODAY()-[@Fecha_Ultima_Asignacion])</f>
      </c>
      <c r="L6" s="7" t="inlineStr">
        <is>
          <t xml:space="preserve"/>
        </is>
      </c>
    </row>
    <row r="7">
      <c r="A7" s="7" t="inlineStr">
        <is>
          <t xml:space="preserve">BEX-0017</t>
        </is>
      </c>
      <c r="B7" s="7" t="inlineStr">
        <is>
          <t xml:space="preserve">LEGACY (BEX-0xxx)</t>
        </is>
      </c>
      <c r="C7" s="10" t="inlineStr">
        <is>
          <t xml:space="preserve">ASIGNADO</t>
        </is>
      </c>
      <c r="D7" s="7" t="inlineStr">
        <is>
          <t xml:space="preserve">PAMELA FANNY CALANI LAURA</t>
        </is>
      </c>
      <c r="E7" s="10">
        <f>IFERROR(_xlfn.XLOOKUP([@Responsable_Actual],TablaPersonal[Nombres_Apellidos],TablaPersonal[Telefono]),"POR REGISTRAR")</f>
      </c>
      <c r="F7" s="7" t="inlineStr">
        <is>
          <t xml:space="preserve">PAMELA FANNY CALANI LAURA</t>
        </is>
      </c>
      <c r="G7" s="7" t="inlineStr">
        <is>
          <t xml:space="preserve">COCHABAMBA</t>
        </is>
      </c>
      <c r="H7" s="6">
        <f>IF(COUNTIFS(TablaMovimientos[Codigo_BEX],[@Codigo_Activo])=0,"",_xlfn.MAXIFS(TablaMovimientos[Fecha],TablaMovimientos[Codigo_BEX],[@Codigo_Activo]))</f>
      </c>
      <c r="I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7" s="10">
        <f>COUNTIFS(TablaMovimientos[Codigo_BEX],[@Codigo_Activo],TablaMovimientos[Tipo_Movimiento],"PERDIDA")</f>
      </c>
      <c r="K7" s="10">
        <f>IF(NOT(ISNUMBER([@Fecha_Ultima_Asignacion])),"",TODAY()-[@Fecha_Ultima_Asignacion])</f>
      </c>
      <c r="L7" s="7" t="inlineStr">
        <is>
          <t xml:space="preserve"/>
        </is>
      </c>
    </row>
    <row r="8">
      <c r="A8" s="7" t="inlineStr">
        <is>
          <t xml:space="preserve">BEX-0018</t>
        </is>
      </c>
      <c r="B8" s="7" t="inlineStr">
        <is>
          <t xml:space="preserve">LEGACY (BEX-0xxx)</t>
        </is>
      </c>
      <c r="C8" s="10" t="inlineStr">
        <is>
          <t xml:space="preserve">ASIGNADO</t>
        </is>
      </c>
      <c r="D8" s="7" t="inlineStr">
        <is>
          <t xml:space="preserve">DIEGO ARMANDO COLQUE COLQUE</t>
        </is>
      </c>
      <c r="E8" s="10">
        <f>IFERROR(_xlfn.XLOOKUP([@Responsable_Actual],TablaPersonal[Nombres_Apellidos],TablaPersonal[Telefono]),"POR REGISTRAR")</f>
      </c>
      <c r="F8" s="7" t="inlineStr">
        <is>
          <t xml:space="preserve">PAMELA FANNY CALANI LAURA</t>
        </is>
      </c>
      <c r="G8" s="7" t="inlineStr">
        <is>
          <t xml:space="preserve">COCHABAMBA</t>
        </is>
      </c>
      <c r="H8" s="6">
        <f>IF(COUNTIFS(TablaMovimientos[Codigo_BEX],[@Codigo_Activo])=0,"",_xlfn.MAXIFS(TablaMovimientos[Fecha],TablaMovimientos[Codigo_BEX],[@Codigo_Activo]))</f>
      </c>
      <c r="I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8" s="10">
        <f>COUNTIFS(TablaMovimientos[Codigo_BEX],[@Codigo_Activo],TablaMovimientos[Tipo_Movimiento],"PERDIDA")</f>
      </c>
      <c r="K8" s="10">
        <f>IF(NOT(ISNUMBER([@Fecha_Ultima_Asignacion])),"",TODAY()-[@Fecha_Ultima_Asignacion])</f>
      </c>
      <c r="L8" s="7" t="inlineStr">
        <is>
          <t xml:space="preserve"/>
        </is>
      </c>
    </row>
    <row r="9">
      <c r="A9" s="7" t="inlineStr">
        <is>
          <t xml:space="preserve">BEX-0020</t>
        </is>
      </c>
      <c r="B9" s="7" t="inlineStr">
        <is>
          <t xml:space="preserve">LEGACY (BEX-0xxx)</t>
        </is>
      </c>
      <c r="C9" s="10" t="inlineStr">
        <is>
          <t xml:space="preserve">ASIGNADO</t>
        </is>
      </c>
      <c r="D9" s="7" t="inlineStr">
        <is>
          <t xml:space="preserve">JHOJAN JAIRO CALLAHUARA CHOQUE</t>
        </is>
      </c>
      <c r="E9" s="10">
        <f>IFERROR(_xlfn.XLOOKUP([@Responsable_Actual],TablaPersonal[Nombres_Apellidos],TablaPersonal[Telefono]),"POR REGISTRAR")</f>
      </c>
      <c r="F9" s="7" t="inlineStr">
        <is>
          <t xml:space="preserve">PAMELA FANNY CALANI LAURA</t>
        </is>
      </c>
      <c r="G9" s="7" t="inlineStr">
        <is>
          <t xml:space="preserve">COCHABAMBA</t>
        </is>
      </c>
      <c r="H9" s="6">
        <f>IF(COUNTIFS(TablaMovimientos[Codigo_BEX],[@Codigo_Activo])=0,"",_xlfn.MAXIFS(TablaMovimientos[Fecha],TablaMovimientos[Codigo_BEX],[@Codigo_Activo]))</f>
      </c>
      <c r="I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9" s="10">
        <f>COUNTIFS(TablaMovimientos[Codigo_BEX],[@Codigo_Activo],TablaMovimientos[Tipo_Movimiento],"PERDIDA")</f>
      </c>
      <c r="K9" s="10">
        <f>IF(NOT(ISNUMBER([@Fecha_Ultima_Asignacion])),"",TODAY()-[@Fecha_Ultima_Asignacion])</f>
      </c>
      <c r="L9" s="7" t="inlineStr">
        <is>
          <t xml:space="preserve"/>
        </is>
      </c>
    </row>
    <row r="10">
      <c r="A10" s="7" t="inlineStr">
        <is>
          <t xml:space="preserve">BEX-0023</t>
        </is>
      </c>
      <c r="B10" s="7" t="inlineStr">
        <is>
          <t xml:space="preserve">LEGACY (BEX-0xxx)</t>
        </is>
      </c>
      <c r="C10" s="10" t="inlineStr">
        <is>
          <t xml:space="preserve">ASIGNADO</t>
        </is>
      </c>
      <c r="D10" s="7" t="inlineStr">
        <is>
          <t xml:space="preserve">PABLO SANTIAGO PEREZ NAVA</t>
        </is>
      </c>
      <c r="E10" s="10">
        <f>IFERROR(_xlfn.XLOOKUP([@Responsable_Actual],TablaPersonal[Nombres_Apellidos],TablaPersonal[Telefono]),"POR REGISTRAR")</f>
      </c>
      <c r="F10" s="7" t="inlineStr">
        <is>
          <t xml:space="preserve">PAMELA FANNY CALANI LAURA</t>
        </is>
      </c>
      <c r="G10" s="7" t="inlineStr">
        <is>
          <t xml:space="preserve">COCHABAMBA</t>
        </is>
      </c>
      <c r="H10" s="6">
        <f>IF(COUNTIFS(TablaMovimientos[Codigo_BEX],[@Codigo_Activo])=0,"",_xlfn.MAXIFS(TablaMovimientos[Fecha],TablaMovimientos[Codigo_BEX],[@Codigo_Activo]))</f>
      </c>
      <c r="I1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0" s="10">
        <f>COUNTIFS(TablaMovimientos[Codigo_BEX],[@Codigo_Activo],TablaMovimientos[Tipo_Movimiento],"PERDIDA")</f>
      </c>
      <c r="K10" s="10">
        <f>IF(NOT(ISNUMBER([@Fecha_Ultima_Asignacion])),"",TODAY()-[@Fecha_Ultima_Asignacion])</f>
      </c>
      <c r="L10" s="7" t="inlineStr">
        <is>
          <t xml:space="preserve"/>
        </is>
      </c>
    </row>
    <row r="11">
      <c r="A11" s="7" t="inlineStr">
        <is>
          <t xml:space="preserve">BEX-0027</t>
        </is>
      </c>
      <c r="B11" s="7" t="inlineStr">
        <is>
          <t xml:space="preserve">LEGACY (BEX-0xxx)</t>
        </is>
      </c>
      <c r="C11" s="10" t="inlineStr">
        <is>
          <t xml:space="preserve">ASIGNADO</t>
        </is>
      </c>
      <c r="D11" s="7" t="inlineStr">
        <is>
          <t xml:space="preserve">JHENIFER LUCERO SERRUDO LLAMPA</t>
        </is>
      </c>
      <c r="E11" s="10">
        <f>IFERROR(_xlfn.XLOOKUP([@Responsable_Actual],TablaPersonal[Nombres_Apellidos],TablaPersonal[Telefono]),"POR REGISTRAR")</f>
      </c>
      <c r="F11" s="7" t="inlineStr">
        <is>
          <t xml:space="preserve">JENNY CRISTINA ECHALAR MONTALVO</t>
        </is>
      </c>
      <c r="G11" s="7" t="inlineStr">
        <is>
          <t xml:space="preserve">SUCRE</t>
        </is>
      </c>
      <c r="H11" s="6">
        <f>IF(COUNTIFS(TablaMovimientos[Codigo_BEX],[@Codigo_Activo])=0,"",_xlfn.MAXIFS(TablaMovimientos[Fecha],TablaMovimientos[Codigo_BEX],[@Codigo_Activo]))</f>
      </c>
      <c r="I1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1" s="10">
        <f>COUNTIFS(TablaMovimientos[Codigo_BEX],[@Codigo_Activo],TablaMovimientos[Tipo_Movimiento],"PERDIDA")</f>
      </c>
      <c r="K11" s="10">
        <f>IF(NOT(ISNUMBER([@Fecha_Ultima_Asignacion])),"",TODAY()-[@Fecha_Ultima_Asignacion])</f>
      </c>
      <c r="L11" s="7" t="inlineStr">
        <is>
          <t xml:space="preserve"/>
        </is>
      </c>
    </row>
    <row r="12">
      <c r="A12" s="7" t="inlineStr">
        <is>
          <t xml:space="preserve">BEX-0033</t>
        </is>
      </c>
      <c r="B12" s="7" t="inlineStr">
        <is>
          <t xml:space="preserve">LEGACY (BEX-0xxx)</t>
        </is>
      </c>
      <c r="C12" s="10" t="inlineStr">
        <is>
          <t xml:space="preserve">DISPONIBLE</t>
        </is>
      </c>
      <c r="D12" s="7" t="inlineStr">
        <is>
          <t xml:space="preserve">NO ASIGNADO</t>
        </is>
      </c>
      <c r="E12" s="10">
        <f>IFERROR(_xlfn.XLOOKUP([@Responsable_Actual],TablaPersonal[Nombres_Apellidos],TablaPersonal[Telefono]),"POR REGISTRAR")</f>
      </c>
      <c r="F12" s="7" t="inlineStr">
        <is>
          <t xml:space="preserve">PAMELA FANNY CALANI LAURA</t>
        </is>
      </c>
      <c r="G12" s="7" t="inlineStr">
        <is>
          <t xml:space="preserve">COCHABAMBA</t>
        </is>
      </c>
      <c r="H12" s="6">
        <f>IF(COUNTIFS(TablaMovimientos[Codigo_BEX],[@Codigo_Activo])=0,"",_xlfn.MAXIFS(TablaMovimientos[Fecha],TablaMovimientos[Codigo_BEX],[@Codigo_Activo]))</f>
      </c>
      <c r="I1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2" s="10">
        <f>COUNTIFS(TablaMovimientos[Codigo_BEX],[@Codigo_Activo],TablaMovimientos[Tipo_Movimiento],"PERDIDA")</f>
      </c>
      <c r="K12" s="10">
        <f>IF(NOT(ISNUMBER([@Fecha_Ultima_Asignacion])),"",TODAY()-[@Fecha_Ultima_Asignacion])</f>
      </c>
      <c r="L12" s="7" t="inlineStr">
        <is>
          <t xml:space="preserve"/>
        </is>
      </c>
    </row>
    <row r="13">
      <c r="A13" s="7" t="inlineStr">
        <is>
          <t xml:space="preserve">BEX-0057</t>
        </is>
      </c>
      <c r="B13" s="7" t="inlineStr">
        <is>
          <t xml:space="preserve">LEGACY (BEX-0xxx)</t>
        </is>
      </c>
      <c r="C13" s="10" t="inlineStr">
        <is>
          <t xml:space="preserve">ASIGNADO</t>
        </is>
      </c>
      <c r="D13" s="7" t="inlineStr">
        <is>
          <t xml:space="preserve">CALEB HERNAN FLORES FLORES</t>
        </is>
      </c>
      <c r="E13" s="10">
        <f>IFERROR(_xlfn.XLOOKUP([@Responsable_Actual],TablaPersonal[Nombres_Apellidos],TablaPersonal[Telefono]),"POR REGISTRAR")</f>
      </c>
      <c r="F13" s="7" t="inlineStr">
        <is>
          <t xml:space="preserve">PAMELA FANNY CALANI LAURA</t>
        </is>
      </c>
      <c r="G13" s="7" t="inlineStr">
        <is>
          <t xml:space="preserve">COCHABAMBA</t>
        </is>
      </c>
      <c r="H13" s="6">
        <f>IF(COUNTIFS(TablaMovimientos[Codigo_BEX],[@Codigo_Activo])=0,"",_xlfn.MAXIFS(TablaMovimientos[Fecha],TablaMovimientos[Codigo_BEX],[@Codigo_Activo]))</f>
      </c>
      <c r="I1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3" s="10">
        <f>COUNTIFS(TablaMovimientos[Codigo_BEX],[@Codigo_Activo],TablaMovimientos[Tipo_Movimiento],"PERDIDA")</f>
      </c>
      <c r="K13" s="10">
        <f>IF(NOT(ISNUMBER([@Fecha_Ultima_Asignacion])),"",TODAY()-[@Fecha_Ultima_Asignacion])</f>
      </c>
      <c r="L13" s="7" t="inlineStr">
        <is>
          <t xml:space="preserve"/>
        </is>
      </c>
    </row>
    <row r="14">
      <c r="A14" s="7" t="inlineStr">
        <is>
          <t xml:space="preserve">BEX-0106</t>
        </is>
      </c>
      <c r="B14" s="7" t="inlineStr">
        <is>
          <t xml:space="preserve">LEGACY (BEX-0xxx)</t>
        </is>
      </c>
      <c r="C14" s="10" t="inlineStr">
        <is>
          <t xml:space="preserve">ASIGNADO</t>
        </is>
      </c>
      <c r="D14" s="7" t="inlineStr">
        <is>
          <t xml:space="preserve">CAMILA LOZA MERINO / JHOSEP SHARUM QUISBERT</t>
        </is>
      </c>
      <c r="E14" s="10">
        <f>IFERROR(_xlfn.XLOOKUP([@Responsable_Actual],TablaPersonal[Nombres_Apellidos],TablaPersonal[Telefono]),"POR REGISTRAR")</f>
      </c>
      <c r="F14" s="7" t="inlineStr">
        <is>
          <t xml:space="preserve">GERCY EVER ERGUETA KIPPES</t>
        </is>
      </c>
      <c r="G14" s="7" t="inlineStr">
        <is>
          <t xml:space="preserve">LA PAZ</t>
        </is>
      </c>
      <c r="H14" s="6">
        <f>IF(COUNTIFS(TablaMovimientos[Codigo_BEX],[@Codigo_Activo])=0,"",_xlfn.MAXIFS(TablaMovimientos[Fecha],TablaMovimientos[Codigo_BEX],[@Codigo_Activo]))</f>
      </c>
      <c r="I1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4" s="10">
        <f>COUNTIFS(TablaMovimientos[Codigo_BEX],[@Codigo_Activo],TablaMovimientos[Tipo_Movimiento],"PERDIDA")</f>
      </c>
      <c r="K14" s="10">
        <f>IF(NOT(ISNUMBER([@Fecha_Ultima_Asignacion])),"",TODAY()-[@Fecha_Ultima_Asignacion])</f>
      </c>
      <c r="L14" s="7" t="inlineStr">
        <is>
          <t xml:space="preserve">⚠️ DUPLICADO CRITICO: Mismo codigo asignado a 2 personas en equipos distintos</t>
        </is>
      </c>
    </row>
    <row r="15">
      <c r="A15" s="7" t="inlineStr">
        <is>
          <t xml:space="preserve">BEX-0107</t>
        </is>
      </c>
      <c r="B15" s="7" t="inlineStr">
        <is>
          <t xml:space="preserve">LEGACY (BEX-0xxx)</t>
        </is>
      </c>
      <c r="C15" s="10" t="inlineStr">
        <is>
          <t xml:space="preserve">ASIGNADO</t>
        </is>
      </c>
      <c r="D15" s="7" t="inlineStr">
        <is>
          <t xml:space="preserve">JHOSEP QUISBERT MAMANI</t>
        </is>
      </c>
      <c r="E15" s="10">
        <f>IFERROR(_xlfn.XLOOKUP([@Responsable_Actual],TablaPersonal[Nombres_Apellidos],TablaPersonal[Telefono]),"POR REGISTRAR")</f>
      </c>
      <c r="F15" s="7" t="inlineStr">
        <is>
          <t xml:space="preserve">GERCY EVER ERGUETA KIPPES</t>
        </is>
      </c>
      <c r="G15" s="7" t="inlineStr">
        <is>
          <t xml:space="preserve">LA PAZ</t>
        </is>
      </c>
      <c r="H15" s="6">
        <f>IF(COUNTIFS(TablaMovimientos[Codigo_BEX],[@Codigo_Activo])=0,"",_xlfn.MAXIFS(TablaMovimientos[Fecha],TablaMovimientos[Codigo_BEX],[@Codigo_Activo]))</f>
      </c>
      <c r="I1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5" s="10">
        <f>COUNTIFS(TablaMovimientos[Codigo_BEX],[@Codigo_Activo],TablaMovimientos[Tipo_Movimiento],"PERDIDA")</f>
      </c>
      <c r="K15" s="10">
        <f>IF(NOT(ISNUMBER([@Fecha_Ultima_Asignacion])),"",TODAY()-[@Fecha_Ultima_Asignacion])</f>
      </c>
      <c r="L15" s="7" t="inlineStr">
        <is>
          <t xml:space="preserve"/>
        </is>
      </c>
    </row>
    <row r="16">
      <c r="A16" s="7" t="inlineStr">
        <is>
          <t xml:space="preserve">BEX-0109</t>
        </is>
      </c>
      <c r="B16" s="7" t="inlineStr">
        <is>
          <t xml:space="preserve">LEGACY (BEX-0xxx)</t>
        </is>
      </c>
      <c r="C16" s="10" t="inlineStr">
        <is>
          <t xml:space="preserve">ASIGNADO</t>
        </is>
      </c>
      <c r="D16" s="7" t="inlineStr">
        <is>
          <t xml:space="preserve">JHOANA IVETH VARGAS COPA</t>
        </is>
      </c>
      <c r="E16" s="10">
        <f>IFERROR(_xlfn.XLOOKUP([@Responsable_Actual],TablaPersonal[Nombres_Apellidos],TablaPersonal[Telefono]),"POR REGISTRAR")</f>
      </c>
      <c r="F16" s="7" t="inlineStr">
        <is>
          <t xml:space="preserve">JOEL DAVID HUANCA HUANCA</t>
        </is>
      </c>
      <c r="G16" s="7" t="inlineStr">
        <is>
          <t xml:space="preserve">LA PAZ</t>
        </is>
      </c>
      <c r="H16" s="6">
        <f>IF(COUNTIFS(TablaMovimientos[Codigo_BEX],[@Codigo_Activo])=0,"",_xlfn.MAXIFS(TablaMovimientos[Fecha],TablaMovimientos[Codigo_BEX],[@Codigo_Activo]))</f>
      </c>
      <c r="I1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6" s="10">
        <f>COUNTIFS(TablaMovimientos[Codigo_BEX],[@Codigo_Activo],TablaMovimientos[Tipo_Movimiento],"PERDIDA")</f>
      </c>
      <c r="K16" s="10">
        <f>IF(NOT(ISNUMBER([@Fecha_Ultima_Asignacion])),"",TODAY()-[@Fecha_Ultima_Asignacion])</f>
      </c>
      <c r="L16" s="7" t="inlineStr">
        <is>
          <t xml:space="preserve"/>
        </is>
      </c>
    </row>
    <row r="17">
      <c r="A17" s="7" t="inlineStr">
        <is>
          <t xml:space="preserve">BEX-0111</t>
        </is>
      </c>
      <c r="B17" s="7" t="inlineStr">
        <is>
          <t xml:space="preserve">LEGACY (BEX-0xxx)</t>
        </is>
      </c>
      <c r="C17" s="10" t="inlineStr">
        <is>
          <t xml:space="preserve">ASIGNADO</t>
        </is>
      </c>
      <c r="D17" s="7" t="inlineStr">
        <is>
          <t xml:space="preserve">WILSON ALFREDO MACHACA CALCINA</t>
        </is>
      </c>
      <c r="E17" s="10">
        <f>IFERROR(_xlfn.XLOOKUP([@Responsable_Actual],TablaPersonal[Nombres_Apellidos],TablaPersonal[Telefono]),"POR REGISTRAR")</f>
      </c>
      <c r="F17" s="7" t="inlineStr">
        <is>
          <t xml:space="preserve">JOEL DAVID HUANCA HUANCA</t>
        </is>
      </c>
      <c r="G17" s="7" t="inlineStr">
        <is>
          <t xml:space="preserve">LA PAZ</t>
        </is>
      </c>
      <c r="H17" s="6">
        <f>IF(COUNTIFS(TablaMovimientos[Codigo_BEX],[@Codigo_Activo])=0,"",_xlfn.MAXIFS(TablaMovimientos[Fecha],TablaMovimientos[Codigo_BEX],[@Codigo_Activo]))</f>
      </c>
      <c r="I1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7" s="10">
        <f>COUNTIFS(TablaMovimientos[Codigo_BEX],[@Codigo_Activo],TablaMovimientos[Tipo_Movimiento],"PERDIDA")</f>
      </c>
      <c r="K17" s="10">
        <f>IF(NOT(ISNUMBER([@Fecha_Ultima_Asignacion])),"",TODAY()-[@Fecha_Ultima_Asignacion])</f>
      </c>
      <c r="L17" s="7" t="inlineStr">
        <is>
          <t xml:space="preserve"/>
        </is>
      </c>
    </row>
    <row r="18">
      <c r="A18" s="7" t="inlineStr">
        <is>
          <t xml:space="preserve">BEX-0112</t>
        </is>
      </c>
      <c r="B18" s="7" t="inlineStr">
        <is>
          <t xml:space="preserve">LEGACY (BEX-0xxx)</t>
        </is>
      </c>
      <c r="C18" s="10" t="inlineStr">
        <is>
          <t xml:space="preserve">ASIGNADO</t>
        </is>
      </c>
      <c r="D18" s="7" t="inlineStr">
        <is>
          <t xml:space="preserve">EIMI SONIA CHUQUIMIA CHAIRA</t>
        </is>
      </c>
      <c r="E18" s="10">
        <f>IFERROR(_xlfn.XLOOKUP([@Responsable_Actual],TablaPersonal[Nombres_Apellidos],TablaPersonal[Telefono]),"POR REGISTRAR")</f>
      </c>
      <c r="F18" s="7" t="inlineStr">
        <is>
          <t xml:space="preserve">CLAUDIA SHASKIA CALLE NINA</t>
        </is>
      </c>
      <c r="G18" s="7" t="inlineStr">
        <is>
          <t xml:space="preserve">LA PAZ</t>
        </is>
      </c>
      <c r="H18" s="6">
        <f>IF(COUNTIFS(TablaMovimientos[Codigo_BEX],[@Codigo_Activo])=0,"",_xlfn.MAXIFS(TablaMovimientos[Fecha],TablaMovimientos[Codigo_BEX],[@Codigo_Activo]))</f>
      </c>
      <c r="I1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8" s="10">
        <f>COUNTIFS(TablaMovimientos[Codigo_BEX],[@Codigo_Activo],TablaMovimientos[Tipo_Movimiento],"PERDIDA")</f>
      </c>
      <c r="K18" s="10">
        <f>IF(NOT(ISNUMBER([@Fecha_Ultima_Asignacion])),"",TODAY()-[@Fecha_Ultima_Asignacion])</f>
      </c>
      <c r="L18" s="7" t="inlineStr">
        <is>
          <t xml:space="preserve"/>
        </is>
      </c>
    </row>
    <row r="19">
      <c r="A19" s="7" t="inlineStr">
        <is>
          <t xml:space="preserve">BEX-0113</t>
        </is>
      </c>
      <c r="B19" s="7" t="inlineStr">
        <is>
          <t xml:space="preserve">LEGACY (BEX-0xxx)</t>
        </is>
      </c>
      <c r="C19" s="10" t="inlineStr">
        <is>
          <t xml:space="preserve">ASIGNADO</t>
        </is>
      </c>
      <c r="D19" s="7" t="inlineStr">
        <is>
          <t xml:space="preserve">MIRIAM ROSA CHAMBI QUISPE</t>
        </is>
      </c>
      <c r="E19" s="10">
        <f>IFERROR(_xlfn.XLOOKUP([@Responsable_Actual],TablaPersonal[Nombres_Apellidos],TablaPersonal[Telefono]),"POR REGISTRAR")</f>
      </c>
      <c r="F19" s="7" t="inlineStr">
        <is>
          <t xml:space="preserve">MIRIAM ROSA CHAMBI QUISPE</t>
        </is>
      </c>
      <c r="G19" s="7" t="inlineStr">
        <is>
          <t xml:space="preserve">ORURO</t>
        </is>
      </c>
      <c r="H19" s="6">
        <f>IF(COUNTIFS(TablaMovimientos[Codigo_BEX],[@Codigo_Activo])=0,"",_xlfn.MAXIFS(TablaMovimientos[Fecha],TablaMovimientos[Codigo_BEX],[@Codigo_Activo]))</f>
      </c>
      <c r="I1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9" s="10">
        <f>COUNTIFS(TablaMovimientos[Codigo_BEX],[@Codigo_Activo],TablaMovimientos[Tipo_Movimiento],"PERDIDA")</f>
      </c>
      <c r="K19" s="10">
        <f>IF(NOT(ISNUMBER([@Fecha_Ultima_Asignacion])),"",TODAY()-[@Fecha_Ultima_Asignacion])</f>
      </c>
      <c r="L19" s="7" t="inlineStr">
        <is>
          <t xml:space="preserve"/>
        </is>
      </c>
    </row>
    <row r="20">
      <c r="A20" s="7" t="inlineStr">
        <is>
          <t xml:space="preserve">BEX-0114</t>
        </is>
      </c>
      <c r="B20" s="7" t="inlineStr">
        <is>
          <t xml:space="preserve">LEGACY (BEX-0xxx)</t>
        </is>
      </c>
      <c r="C20" s="10" t="inlineStr">
        <is>
          <t xml:space="preserve">ASIGNADO</t>
        </is>
      </c>
      <c r="D20" s="7" t="inlineStr">
        <is>
          <t xml:space="preserve">LUZ MARIBEL VIRACA TAQUIMALLCO</t>
        </is>
      </c>
      <c r="E20" s="10">
        <f>IFERROR(_xlfn.XLOOKUP([@Responsable_Actual],TablaPersonal[Nombres_Apellidos],TablaPersonal[Telefono]),"POR REGISTRAR")</f>
      </c>
      <c r="F20" s="7" t="inlineStr">
        <is>
          <t xml:space="preserve">MIRIAM ROSA CHAMBI QUISPE</t>
        </is>
      </c>
      <c r="G20" s="7" t="inlineStr">
        <is>
          <t xml:space="preserve">ORURO</t>
        </is>
      </c>
      <c r="H20" s="6">
        <f>IF(COUNTIFS(TablaMovimientos[Codigo_BEX],[@Codigo_Activo])=0,"",_xlfn.MAXIFS(TablaMovimientos[Fecha],TablaMovimientos[Codigo_BEX],[@Codigo_Activo]))</f>
      </c>
      <c r="I2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20" s="10">
        <f>COUNTIFS(TablaMovimientos[Codigo_BEX],[@Codigo_Activo],TablaMovimientos[Tipo_Movimiento],"PERDIDA")</f>
      </c>
      <c r="K20" s="10">
        <f>IF(NOT(ISNUMBER([@Fecha_Ultima_Asignacion])),"",TODAY()-[@Fecha_Ultima_Asignacion])</f>
      </c>
      <c r="L20" s="7" t="inlineStr">
        <is>
          <t xml:space="preserve"/>
        </is>
      </c>
    </row>
    <row r="21">
      <c r="A21" s="7" t="inlineStr">
        <is>
          <t xml:space="preserve">BEX-0115</t>
        </is>
      </c>
      <c r="B21" s="7" t="inlineStr">
        <is>
          <t xml:space="preserve">LEGACY (BEX-0xxx)</t>
        </is>
      </c>
      <c r="C21" s="10" t="inlineStr">
        <is>
          <t xml:space="preserve">ASIGNADO</t>
        </is>
      </c>
      <c r="D21" s="7" t="inlineStr">
        <is>
          <t xml:space="preserve">ZULMA FLORES CARICARI</t>
        </is>
      </c>
      <c r="E21" s="10">
        <f>IFERROR(_xlfn.XLOOKUP([@Responsable_Actual],TablaPersonal[Nombres_Apellidos],TablaPersonal[Telefono]),"POR REGISTRAR")</f>
      </c>
      <c r="F21" s="7" t="inlineStr">
        <is>
          <t xml:space="preserve">MIRIAM ROSA CHAMBI QUISPE</t>
        </is>
      </c>
      <c r="G21" s="7" t="inlineStr">
        <is>
          <t xml:space="preserve">ORURO</t>
        </is>
      </c>
      <c r="H21" s="6">
        <f>IF(COUNTIFS(TablaMovimientos[Codigo_BEX],[@Codigo_Activo])=0,"",_xlfn.MAXIFS(TablaMovimientos[Fecha],TablaMovimientos[Codigo_BEX],[@Codigo_Activo]))</f>
      </c>
      <c r="I2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21" s="10">
        <f>COUNTIFS(TablaMovimientos[Codigo_BEX],[@Codigo_Activo],TablaMovimientos[Tipo_Movimiento],"PERDIDA")</f>
      </c>
      <c r="K21" s="10">
        <f>IF(NOT(ISNUMBER([@Fecha_Ultima_Asignacion])),"",TODAY()-[@Fecha_Ultima_Asignacion])</f>
      </c>
      <c r="L21" s="7" t="inlineStr">
        <is>
          <t xml:space="preserve"/>
        </is>
      </c>
    </row>
    <row r="22">
      <c r="A22" s="7" t="inlineStr">
        <is>
          <t xml:space="preserve">BEX-0116</t>
        </is>
      </c>
      <c r="B22" s="7" t="inlineStr">
        <is>
          <t xml:space="preserve">LEGACY (BEX-0xxx)</t>
        </is>
      </c>
      <c r="C22" s="10" t="inlineStr">
        <is>
          <t xml:space="preserve">ASIGNADO</t>
        </is>
      </c>
      <c r="D22" s="7" t="inlineStr">
        <is>
          <t xml:space="preserve">GIMENA MELVIS HUANCA GOMEZ</t>
        </is>
      </c>
      <c r="E22" s="10">
        <f>IFERROR(_xlfn.XLOOKUP([@Responsable_Actual],TablaPersonal[Nombres_Apellidos],TablaPersonal[Telefono]),"POR REGISTRAR")</f>
      </c>
      <c r="F22" s="7" t="inlineStr">
        <is>
          <t xml:space="preserve">MIRIAM ROSA CHAMBI QUISPE</t>
        </is>
      </c>
      <c r="G22" s="7" t="inlineStr">
        <is>
          <t xml:space="preserve">ORURO</t>
        </is>
      </c>
      <c r="H22" s="6">
        <f>IF(COUNTIFS(TablaMovimientos[Codigo_BEX],[@Codigo_Activo])=0,"",_xlfn.MAXIFS(TablaMovimientos[Fecha],TablaMovimientos[Codigo_BEX],[@Codigo_Activo]))</f>
      </c>
      <c r="I2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22" s="10">
        <f>COUNTIFS(TablaMovimientos[Codigo_BEX],[@Codigo_Activo],TablaMovimientos[Tipo_Movimiento],"PERDIDA")</f>
      </c>
      <c r="K22" s="10">
        <f>IF(NOT(ISNUMBER([@Fecha_Ultima_Asignacion])),"",TODAY()-[@Fecha_Ultima_Asignacion])</f>
      </c>
      <c r="L22" s="7" t="inlineStr">
        <is>
          <t xml:space="preserve"/>
        </is>
      </c>
    </row>
    <row r="23">
      <c r="A23" s="7" t="inlineStr">
        <is>
          <t xml:space="preserve">BEX-0117</t>
        </is>
      </c>
      <c r="B23" s="7" t="inlineStr">
        <is>
          <t xml:space="preserve">LEGACY (BEX-0xxx)</t>
        </is>
      </c>
      <c r="C23" s="10" t="inlineStr">
        <is>
          <t xml:space="preserve">ASIGNADO</t>
        </is>
      </c>
      <c r="D23" s="7" t="inlineStr">
        <is>
          <t xml:space="preserve">RICHAR YAMIL AVAREZ CANAVIRI</t>
        </is>
      </c>
      <c r="E23" s="10">
        <f>IFERROR(_xlfn.XLOOKUP([@Responsable_Actual],TablaPersonal[Nombres_Apellidos],TablaPersonal[Telefono]),"POR REGISTRAR")</f>
      </c>
      <c r="F23" s="7" t="inlineStr">
        <is>
          <t xml:space="preserve">MIRIAM ROSA CHAMBI QUISPE</t>
        </is>
      </c>
      <c r="G23" s="7" t="inlineStr">
        <is>
          <t xml:space="preserve">ORURO</t>
        </is>
      </c>
      <c r="H23" s="6">
        <f>IF(COUNTIFS(TablaMovimientos[Codigo_BEX],[@Codigo_Activo])=0,"",_xlfn.MAXIFS(TablaMovimientos[Fecha],TablaMovimientos[Codigo_BEX],[@Codigo_Activo]))</f>
      </c>
      <c r="I2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23" s="10">
        <f>COUNTIFS(TablaMovimientos[Codigo_BEX],[@Codigo_Activo],TablaMovimientos[Tipo_Movimiento],"PERDIDA")</f>
      </c>
      <c r="K23" s="10">
        <f>IF(NOT(ISNUMBER([@Fecha_Ultima_Asignacion])),"",TODAY()-[@Fecha_Ultima_Asignacion])</f>
      </c>
      <c r="L23" s="7" t="inlineStr">
        <is>
          <t xml:space="preserve"/>
        </is>
      </c>
    </row>
    <row r="24">
      <c r="A24" s="7" t="inlineStr">
        <is>
          <t xml:space="preserve">BEX-0118</t>
        </is>
      </c>
      <c r="B24" s="7" t="inlineStr">
        <is>
          <t xml:space="preserve">LEGACY (BEX-0xxx)</t>
        </is>
      </c>
      <c r="C24" s="10" t="inlineStr">
        <is>
          <t xml:space="preserve">ASIGNADO</t>
        </is>
      </c>
      <c r="D24" s="7" t="inlineStr">
        <is>
          <t xml:space="preserve">CRUZ TORRICO TATIANA CRISTINA</t>
        </is>
      </c>
      <c r="E24" s="10">
        <f>IFERROR(_xlfn.XLOOKUP([@Responsable_Actual],TablaPersonal[Nombres_Apellidos],TablaPersonal[Telefono]),"POR REGISTRAR")</f>
      </c>
      <c r="F24" s="7" t="inlineStr">
        <is>
          <t xml:space="preserve">MIRIAM ROSA CHAMBI QUISPE</t>
        </is>
      </c>
      <c r="G24" s="7" t="inlineStr">
        <is>
          <t xml:space="preserve">ORURO</t>
        </is>
      </c>
      <c r="H24" s="6">
        <f>IF(COUNTIFS(TablaMovimientos[Codigo_BEX],[@Codigo_Activo])=0,"",_xlfn.MAXIFS(TablaMovimientos[Fecha],TablaMovimientos[Codigo_BEX],[@Codigo_Activo]))</f>
      </c>
      <c r="I2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24" s="10">
        <f>COUNTIFS(TablaMovimientos[Codigo_BEX],[@Codigo_Activo],TablaMovimientos[Tipo_Movimiento],"PERDIDA")</f>
      </c>
      <c r="K24" s="10">
        <f>IF(NOT(ISNUMBER([@Fecha_Ultima_Asignacion])),"",TODAY()-[@Fecha_Ultima_Asignacion])</f>
      </c>
      <c r="L24" s="7" t="inlineStr">
        <is>
          <t xml:space="preserve"/>
        </is>
      </c>
    </row>
    <row r="25">
      <c r="A25" s="7" t="inlineStr">
        <is>
          <t xml:space="preserve">BEX-0119</t>
        </is>
      </c>
      <c r="B25" s="7" t="inlineStr">
        <is>
          <t xml:space="preserve">LEGACY (BEX-0xxx)</t>
        </is>
      </c>
      <c r="C25" s="10" t="inlineStr">
        <is>
          <t xml:space="preserve">ASIGNADO</t>
        </is>
      </c>
      <c r="D25" s="7" t="inlineStr">
        <is>
          <t xml:space="preserve">CAROLINA KIMBERLY QUISPE ARANCIBIA</t>
        </is>
      </c>
      <c r="E25" s="10">
        <f>IFERROR(_xlfn.XLOOKUP([@Responsable_Actual],TablaPersonal[Nombres_Apellidos],TablaPersonal[Telefono]),"POR REGISTRAR")</f>
      </c>
      <c r="F25" s="7" t="inlineStr">
        <is>
          <t xml:space="preserve">MIRIAM ROSA CHAMBI QUISPE</t>
        </is>
      </c>
      <c r="G25" s="7" t="inlineStr">
        <is>
          <t xml:space="preserve">ORURO</t>
        </is>
      </c>
      <c r="H25" s="6">
        <f>IF(COUNTIFS(TablaMovimientos[Codigo_BEX],[@Codigo_Activo])=0,"",_xlfn.MAXIFS(TablaMovimientos[Fecha],TablaMovimientos[Codigo_BEX],[@Codigo_Activo]))</f>
      </c>
      <c r="I2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25" s="10">
        <f>COUNTIFS(TablaMovimientos[Codigo_BEX],[@Codigo_Activo],TablaMovimientos[Tipo_Movimiento],"PERDIDA")</f>
      </c>
      <c r="K25" s="10">
        <f>IF(NOT(ISNUMBER([@Fecha_Ultima_Asignacion])),"",TODAY()-[@Fecha_Ultima_Asignacion])</f>
      </c>
      <c r="L25" s="7" t="inlineStr">
        <is>
          <t xml:space="preserve"/>
        </is>
      </c>
    </row>
    <row r="26">
      <c r="A26" s="7" t="inlineStr">
        <is>
          <t xml:space="preserve">BEX-0120</t>
        </is>
      </c>
      <c r="B26" s="7" t="inlineStr">
        <is>
          <t xml:space="preserve">LEGACY (BEX-0xxx)</t>
        </is>
      </c>
      <c r="C26" s="10" t="inlineStr">
        <is>
          <t xml:space="preserve">ASIGNADO</t>
        </is>
      </c>
      <c r="D26" s="7" t="inlineStr">
        <is>
          <t xml:space="preserve">RUBEN ANTONIO HINOJOSA TUPA</t>
        </is>
      </c>
      <c r="E26" s="10">
        <f>IFERROR(_xlfn.XLOOKUP([@Responsable_Actual],TablaPersonal[Nombres_Apellidos],TablaPersonal[Telefono]),"POR REGISTRAR")</f>
      </c>
      <c r="F26" s="7" t="inlineStr">
        <is>
          <t xml:space="preserve">CLAUDIA SHASKIA CALLE NINA</t>
        </is>
      </c>
      <c r="G26" s="7" t="inlineStr">
        <is>
          <t xml:space="preserve">LA PAZ</t>
        </is>
      </c>
      <c r="H26" s="6">
        <f>IF(COUNTIFS(TablaMovimientos[Codigo_BEX],[@Codigo_Activo])=0,"",_xlfn.MAXIFS(TablaMovimientos[Fecha],TablaMovimientos[Codigo_BEX],[@Codigo_Activo]))</f>
      </c>
      <c r="I2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26" s="10">
        <f>COUNTIFS(TablaMovimientos[Codigo_BEX],[@Codigo_Activo],TablaMovimientos[Tipo_Movimiento],"PERDIDA")</f>
      </c>
      <c r="K26" s="10">
        <f>IF(NOT(ISNUMBER([@Fecha_Ultima_Asignacion])),"",TODAY()-[@Fecha_Ultima_Asignacion])</f>
      </c>
      <c r="L26" s="7" t="inlineStr">
        <is>
          <t xml:space="preserve"/>
        </is>
      </c>
    </row>
    <row r="27">
      <c r="A27" s="7" t="inlineStr">
        <is>
          <t xml:space="preserve">BEX-0124</t>
        </is>
      </c>
      <c r="B27" s="7" t="inlineStr">
        <is>
          <t xml:space="preserve">LEGACY (BEX-0xxx)</t>
        </is>
      </c>
      <c r="C27" s="10" t="inlineStr">
        <is>
          <t xml:space="preserve">ASIGNADO</t>
        </is>
      </c>
      <c r="D27" s="7" t="inlineStr">
        <is>
          <t xml:space="preserve">MARIA ELENA PERALTA JORDAN</t>
        </is>
      </c>
      <c r="E27" s="10">
        <f>IFERROR(_xlfn.XLOOKUP([@Responsable_Actual],TablaPersonal[Nombres_Apellidos],TablaPersonal[Telefono]),"POR REGISTRAR")</f>
      </c>
      <c r="F27" s="7" t="inlineStr">
        <is>
          <t xml:space="preserve">MILENKO ADRIANA ORDONEZ NUNEZ</t>
        </is>
      </c>
      <c r="G27" s="7" t="inlineStr">
        <is>
          <t xml:space="preserve">LA PAZ</t>
        </is>
      </c>
      <c r="H27" s="6">
        <f>IF(COUNTIFS(TablaMovimientos[Codigo_BEX],[@Codigo_Activo])=0,"",_xlfn.MAXIFS(TablaMovimientos[Fecha],TablaMovimientos[Codigo_BEX],[@Codigo_Activo]))</f>
      </c>
      <c r="I2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27" s="10">
        <f>COUNTIFS(TablaMovimientos[Codigo_BEX],[@Codigo_Activo],TablaMovimientos[Tipo_Movimiento],"PERDIDA")</f>
      </c>
      <c r="K27" s="10">
        <f>IF(NOT(ISNUMBER([@Fecha_Ultima_Asignacion])),"",TODAY()-[@Fecha_Ultima_Asignacion])</f>
      </c>
      <c r="L27" s="7" t="inlineStr">
        <is>
          <t xml:space="preserve"/>
        </is>
      </c>
    </row>
    <row r="28">
      <c r="A28" s="7" t="inlineStr">
        <is>
          <t xml:space="preserve">BEX-0126</t>
        </is>
      </c>
      <c r="B28" s="7" t="inlineStr">
        <is>
          <t xml:space="preserve">LEGACY (BEX-0xxx)</t>
        </is>
      </c>
      <c r="C28" s="10" t="inlineStr">
        <is>
          <t xml:space="preserve">ASIGNADO</t>
        </is>
      </c>
      <c r="D28" s="7" t="inlineStr">
        <is>
          <t xml:space="preserve">EDDY HERLAND ESPINOZA CHOQUE</t>
        </is>
      </c>
      <c r="E28" s="10">
        <f>IFERROR(_xlfn.XLOOKUP([@Responsable_Actual],TablaPersonal[Nombres_Apellidos],TablaPersonal[Telefono]),"POR REGISTRAR")</f>
      </c>
      <c r="F28" s="7" t="inlineStr">
        <is>
          <t xml:space="preserve">JOEL DAVID HUANCA HUANCA</t>
        </is>
      </c>
      <c r="G28" s="7" t="inlineStr">
        <is>
          <t xml:space="preserve">LA PAZ</t>
        </is>
      </c>
      <c r="H28" s="6">
        <f>IF(COUNTIFS(TablaMovimientos[Codigo_BEX],[@Codigo_Activo])=0,"",_xlfn.MAXIFS(TablaMovimientos[Fecha],TablaMovimientos[Codigo_BEX],[@Codigo_Activo]))</f>
      </c>
      <c r="I2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28" s="10">
        <f>COUNTIFS(TablaMovimientos[Codigo_BEX],[@Codigo_Activo],TablaMovimientos[Tipo_Movimiento],"PERDIDA")</f>
      </c>
      <c r="K28" s="10">
        <f>IF(NOT(ISNUMBER([@Fecha_Ultima_Asignacion])),"",TODAY()-[@Fecha_Ultima_Asignacion])</f>
      </c>
      <c r="L28" s="7" t="inlineStr">
        <is>
          <t xml:space="preserve"/>
        </is>
      </c>
    </row>
    <row r="29">
      <c r="A29" s="7" t="inlineStr">
        <is>
          <t xml:space="preserve">BEX-0145</t>
        </is>
      </c>
      <c r="B29" s="7" t="inlineStr">
        <is>
          <t xml:space="preserve">LEGACY (BEX-0xxx)</t>
        </is>
      </c>
      <c r="C29" s="10" t="inlineStr">
        <is>
          <t xml:space="preserve">ASIGNADO</t>
        </is>
      </c>
      <c r="D29" s="7" t="inlineStr">
        <is>
          <t xml:space="preserve">LUIS ANGEL SIHUAIROS CANO</t>
        </is>
      </c>
      <c r="E29" s="10">
        <f>IFERROR(_xlfn.XLOOKUP([@Responsable_Actual],TablaPersonal[Nombres_Apellidos],TablaPersonal[Telefono]),"POR REGISTRAR")</f>
      </c>
      <c r="F29" s="7" t="inlineStr">
        <is>
          <t xml:space="preserve">JENNY CRISTINA ECHALAR MONTALVO</t>
        </is>
      </c>
      <c r="G29" s="7" t="inlineStr">
        <is>
          <t xml:space="preserve">SUCRE</t>
        </is>
      </c>
      <c r="H29" s="6">
        <f>IF(COUNTIFS(TablaMovimientos[Codigo_BEX],[@Codigo_Activo])=0,"",_xlfn.MAXIFS(TablaMovimientos[Fecha],TablaMovimientos[Codigo_BEX],[@Codigo_Activo]))</f>
      </c>
      <c r="I2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29" s="10">
        <f>COUNTIFS(TablaMovimientos[Codigo_BEX],[@Codigo_Activo],TablaMovimientos[Tipo_Movimiento],"PERDIDA")</f>
      </c>
      <c r="K29" s="10">
        <f>IF(NOT(ISNUMBER([@Fecha_Ultima_Asignacion])),"",TODAY()-[@Fecha_Ultima_Asignacion])</f>
      </c>
      <c r="L29" s="7" t="inlineStr">
        <is>
          <t xml:space="preserve"/>
        </is>
      </c>
    </row>
    <row r="30">
      <c r="A30" s="7" t="inlineStr">
        <is>
          <t xml:space="preserve">BEX-0148</t>
        </is>
      </c>
      <c r="B30" s="7" t="inlineStr">
        <is>
          <t xml:space="preserve">LEGACY (BEX-0xxx)</t>
        </is>
      </c>
      <c r="C30" s="10" t="inlineStr">
        <is>
          <t xml:space="preserve">ASIGNADO</t>
        </is>
      </c>
      <c r="D30" s="7" t="inlineStr">
        <is>
          <t xml:space="preserve">GABRIELA GARCIA AREVALO</t>
        </is>
      </c>
      <c r="E30" s="10">
        <f>IFERROR(_xlfn.XLOOKUP([@Responsable_Actual],TablaPersonal[Nombres_Apellidos],TablaPersonal[Telefono]),"POR REGISTRAR")</f>
      </c>
      <c r="F30" s="7" t="inlineStr">
        <is>
          <t xml:space="preserve">JENNY CRISTINA ECHALAR MONTALVO</t>
        </is>
      </c>
      <c r="G30" s="7" t="inlineStr">
        <is>
          <t xml:space="preserve">SUCRE</t>
        </is>
      </c>
      <c r="H30" s="6">
        <f>IF(COUNTIFS(TablaMovimientos[Codigo_BEX],[@Codigo_Activo])=0,"",_xlfn.MAXIFS(TablaMovimientos[Fecha],TablaMovimientos[Codigo_BEX],[@Codigo_Activo]))</f>
      </c>
      <c r="I3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30" s="10">
        <f>COUNTIFS(TablaMovimientos[Codigo_BEX],[@Codigo_Activo],TablaMovimientos[Tipo_Movimiento],"PERDIDA")</f>
      </c>
      <c r="K30" s="10">
        <f>IF(NOT(ISNUMBER([@Fecha_Ultima_Asignacion])),"",TODAY()-[@Fecha_Ultima_Asignacion])</f>
      </c>
      <c r="L30" s="7" t="inlineStr">
        <is>
          <t xml:space="preserve"/>
        </is>
      </c>
    </row>
    <row r="31">
      <c r="A31" s="7" t="inlineStr">
        <is>
          <t xml:space="preserve">BEX-0150</t>
        </is>
      </c>
      <c r="B31" s="7" t="inlineStr">
        <is>
          <t xml:space="preserve">LEGACY (BEX-0xxx)</t>
        </is>
      </c>
      <c r="C31" s="10" t="inlineStr">
        <is>
          <t xml:space="preserve">ASIGNADO</t>
        </is>
      </c>
      <c r="D31" s="7" t="inlineStr">
        <is>
          <t xml:space="preserve">RENE NUNEZ SOLIS</t>
        </is>
      </c>
      <c r="E31" s="10">
        <f>IFERROR(_xlfn.XLOOKUP([@Responsable_Actual],TablaPersonal[Nombres_Apellidos],TablaPersonal[Telefono]),"POR REGISTRAR")</f>
      </c>
      <c r="F31" s="7" t="inlineStr">
        <is>
          <t xml:space="preserve">JENNY CRISTINA ECHALAR MONTALVO</t>
        </is>
      </c>
      <c r="G31" s="7" t="inlineStr">
        <is>
          <t xml:space="preserve">SUCRE</t>
        </is>
      </c>
      <c r="H31" s="6">
        <f>IF(COUNTIFS(TablaMovimientos[Codigo_BEX],[@Codigo_Activo])=0,"",_xlfn.MAXIFS(TablaMovimientos[Fecha],TablaMovimientos[Codigo_BEX],[@Codigo_Activo]))</f>
      </c>
      <c r="I3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31" s="10">
        <f>COUNTIFS(TablaMovimientos[Codigo_BEX],[@Codigo_Activo],TablaMovimientos[Tipo_Movimiento],"PERDIDA")</f>
      </c>
      <c r="K31" s="10">
        <f>IF(NOT(ISNUMBER([@Fecha_Ultima_Asignacion])),"",TODAY()-[@Fecha_Ultima_Asignacion])</f>
      </c>
      <c r="L31" s="7" t="inlineStr">
        <is>
          <t xml:space="preserve"/>
        </is>
      </c>
    </row>
    <row r="32">
      <c r="A32" s="7" t="inlineStr">
        <is>
          <t xml:space="preserve">BEX-0151</t>
        </is>
      </c>
      <c r="B32" s="7" t="inlineStr">
        <is>
          <t xml:space="preserve">LEGACY (BEX-0xxx)</t>
        </is>
      </c>
      <c r="C32" s="10" t="inlineStr">
        <is>
          <t xml:space="preserve">ASIGNADO</t>
        </is>
      </c>
      <c r="D32" s="7" t="inlineStr">
        <is>
          <t xml:space="preserve">SAMIEL ARTURO TORRICOS VILLARREAL</t>
        </is>
      </c>
      <c r="E32" s="10">
        <f>IFERROR(_xlfn.XLOOKUP([@Responsable_Actual],TablaPersonal[Nombres_Apellidos],TablaPersonal[Telefono]),"POR REGISTRAR")</f>
      </c>
      <c r="F32" s="7" t="inlineStr">
        <is>
          <t xml:space="preserve">CLAUDIA SHASKIA CALLE NINA</t>
        </is>
      </c>
      <c r="G32" s="7" t="inlineStr">
        <is>
          <t xml:space="preserve">LA PAZ</t>
        </is>
      </c>
      <c r="H32" s="6">
        <f>IF(COUNTIFS(TablaMovimientos[Codigo_BEX],[@Codigo_Activo])=0,"",_xlfn.MAXIFS(TablaMovimientos[Fecha],TablaMovimientos[Codigo_BEX],[@Codigo_Activo]))</f>
      </c>
      <c r="I3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32" s="10">
        <f>COUNTIFS(TablaMovimientos[Codigo_BEX],[@Codigo_Activo],TablaMovimientos[Tipo_Movimiento],"PERDIDA")</f>
      </c>
      <c r="K32" s="10">
        <f>IF(NOT(ISNUMBER([@Fecha_Ultima_Asignacion])),"",TODAY()-[@Fecha_Ultima_Asignacion])</f>
      </c>
      <c r="L32" s="7" t="inlineStr">
        <is>
          <t xml:space="preserve"/>
        </is>
      </c>
    </row>
    <row r="33">
      <c r="A33" s="7" t="inlineStr">
        <is>
          <t xml:space="preserve">BEX-0152</t>
        </is>
      </c>
      <c r="B33" s="7" t="inlineStr">
        <is>
          <t xml:space="preserve">LEGACY (BEX-0xxx)</t>
        </is>
      </c>
      <c r="C33" s="10" t="inlineStr">
        <is>
          <t xml:space="preserve">ASIGNADO</t>
        </is>
      </c>
      <c r="D33" s="7" t="inlineStr">
        <is>
          <t xml:space="preserve">BRUNO ROCHA PEREIRA</t>
        </is>
      </c>
      <c r="E33" s="10">
        <f>IFERROR(_xlfn.XLOOKUP([@Responsable_Actual],TablaPersonal[Nombres_Apellidos],TablaPersonal[Telefono]),"POR REGISTRAR")</f>
      </c>
      <c r="F33" s="7" t="inlineStr">
        <is>
          <t xml:space="preserve">HASIRA DANIELA OSINAGA CHOQUE</t>
        </is>
      </c>
      <c r="G33" s="7" t="inlineStr">
        <is>
          <t xml:space="preserve">COCHABAMBA</t>
        </is>
      </c>
      <c r="H33" s="6">
        <f>IF(COUNTIFS(TablaMovimientos[Codigo_BEX],[@Codigo_Activo])=0,"",_xlfn.MAXIFS(TablaMovimientos[Fecha],TablaMovimientos[Codigo_BEX],[@Codigo_Activo]))</f>
      </c>
      <c r="I3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33" s="10">
        <f>COUNTIFS(TablaMovimientos[Codigo_BEX],[@Codigo_Activo],TablaMovimientos[Tipo_Movimiento],"PERDIDA")</f>
      </c>
      <c r="K33" s="10">
        <f>IF(NOT(ISNUMBER([@Fecha_Ultima_Asignacion])),"",TODAY()-[@Fecha_Ultima_Asignacion])</f>
      </c>
      <c r="L33" s="7" t="inlineStr">
        <is>
          <t xml:space="preserve"/>
        </is>
      </c>
    </row>
    <row r="34">
      <c r="A34" s="7" t="inlineStr">
        <is>
          <t xml:space="preserve">BEX-0155</t>
        </is>
      </c>
      <c r="B34" s="7" t="inlineStr">
        <is>
          <t xml:space="preserve">LEGACY (BEX-0xxx)</t>
        </is>
      </c>
      <c r="C34" s="10" t="inlineStr">
        <is>
          <t xml:space="preserve">ASIGNADO</t>
        </is>
      </c>
      <c r="D34" s="7" t="inlineStr">
        <is>
          <t xml:space="preserve">CRISTIAN JAVIER MORALES REYES</t>
        </is>
      </c>
      <c r="E34" s="10">
        <f>IFERROR(_xlfn.XLOOKUP([@Responsable_Actual],TablaPersonal[Nombres_Apellidos],TablaPersonal[Telefono]),"POR REGISTRAR")</f>
      </c>
      <c r="F34" s="7" t="inlineStr">
        <is>
          <t xml:space="preserve">MILENKO ADRIANA ORDONEZ NUNEZ</t>
        </is>
      </c>
      <c r="G34" s="7" t="inlineStr">
        <is>
          <t xml:space="preserve">LA PAZ</t>
        </is>
      </c>
      <c r="H34" s="6">
        <f>IF(COUNTIFS(TablaMovimientos[Codigo_BEX],[@Codigo_Activo])=0,"",_xlfn.MAXIFS(TablaMovimientos[Fecha],TablaMovimientos[Codigo_BEX],[@Codigo_Activo]))</f>
      </c>
      <c r="I3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34" s="10">
        <f>COUNTIFS(TablaMovimientos[Codigo_BEX],[@Codigo_Activo],TablaMovimientos[Tipo_Movimiento],"PERDIDA")</f>
      </c>
      <c r="K34" s="10">
        <f>IF(NOT(ISNUMBER([@Fecha_Ultima_Asignacion])),"",TODAY()-[@Fecha_Ultima_Asignacion])</f>
      </c>
      <c r="L34" s="7" t="inlineStr">
        <is>
          <t xml:space="preserve"/>
        </is>
      </c>
    </row>
    <row r="35">
      <c r="A35" s="7" t="inlineStr">
        <is>
          <t xml:space="preserve">BEX-0156</t>
        </is>
      </c>
      <c r="B35" s="7" t="inlineStr">
        <is>
          <t xml:space="preserve">LEGACY (BEX-0xxx)</t>
        </is>
      </c>
      <c r="C35" s="10" t="inlineStr">
        <is>
          <t xml:space="preserve">ASIGNADO</t>
        </is>
      </c>
      <c r="D35" s="7" t="inlineStr">
        <is>
          <t xml:space="preserve">JORGE LUIS PEDRAZA</t>
        </is>
      </c>
      <c r="E35" s="10">
        <f>IFERROR(_xlfn.XLOOKUP([@Responsable_Actual],TablaPersonal[Nombres_Apellidos],TablaPersonal[Telefono]),"POR REGISTRAR")</f>
      </c>
      <c r="F35" s="7" t="inlineStr">
        <is>
          <t xml:space="preserve">MILENKO ADRIANA ORDONEZ NUNEZ</t>
        </is>
      </c>
      <c r="G35" s="7" t="inlineStr">
        <is>
          <t xml:space="preserve">LA PAZ</t>
        </is>
      </c>
      <c r="H35" s="6">
        <f>IF(COUNTIFS(TablaMovimientos[Codigo_BEX],[@Codigo_Activo])=0,"",_xlfn.MAXIFS(TablaMovimientos[Fecha],TablaMovimientos[Codigo_BEX],[@Codigo_Activo]))</f>
      </c>
      <c r="I3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35" s="10">
        <f>COUNTIFS(TablaMovimientos[Codigo_BEX],[@Codigo_Activo],TablaMovimientos[Tipo_Movimiento],"PERDIDA")</f>
      </c>
      <c r="K35" s="10">
        <f>IF(NOT(ISNUMBER([@Fecha_Ultima_Asignacion])),"",TODAY()-[@Fecha_Ultima_Asignacion])</f>
      </c>
      <c r="L35" s="7" t="inlineStr">
        <is>
          <t xml:space="preserve"/>
        </is>
      </c>
    </row>
    <row r="36">
      <c r="A36" s="7" t="inlineStr">
        <is>
          <t xml:space="preserve">BEX-0158</t>
        </is>
      </c>
      <c r="B36" s="7" t="inlineStr">
        <is>
          <t xml:space="preserve">LEGACY (BEX-0xxx)</t>
        </is>
      </c>
      <c r="C36" s="10" t="inlineStr">
        <is>
          <t xml:space="preserve">ASIGNADO</t>
        </is>
      </c>
      <c r="D36" s="7" t="inlineStr">
        <is>
          <t xml:space="preserve">JOEL DAVID HUANCA HUANCA</t>
        </is>
      </c>
      <c r="E36" s="10">
        <f>IFERROR(_xlfn.XLOOKUP([@Responsable_Actual],TablaPersonal[Nombres_Apellidos],TablaPersonal[Telefono]),"POR REGISTRAR")</f>
      </c>
      <c r="F36" s="7" t="inlineStr">
        <is>
          <t xml:space="preserve">JOEL DAVID HUANCA HUANCA</t>
        </is>
      </c>
      <c r="G36" s="7" t="inlineStr">
        <is>
          <t xml:space="preserve">LA PAZ</t>
        </is>
      </c>
      <c r="H36" s="6">
        <f>IF(COUNTIFS(TablaMovimientos[Codigo_BEX],[@Codigo_Activo])=0,"",_xlfn.MAXIFS(TablaMovimientos[Fecha],TablaMovimientos[Codigo_BEX],[@Codigo_Activo]))</f>
      </c>
      <c r="I3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36" s="10">
        <f>COUNTIFS(TablaMovimientos[Codigo_BEX],[@Codigo_Activo],TablaMovimientos[Tipo_Movimiento],"PERDIDA")</f>
      </c>
      <c r="K36" s="10">
        <f>IF(NOT(ISNUMBER([@Fecha_Ultima_Asignacion])),"",TODAY()-[@Fecha_Ultima_Asignacion])</f>
      </c>
      <c r="L36" s="7" t="inlineStr">
        <is>
          <t xml:space="preserve"/>
        </is>
      </c>
    </row>
    <row r="37">
      <c r="A37" s="7" t="inlineStr">
        <is>
          <t xml:space="preserve">BEX-0162</t>
        </is>
      </c>
      <c r="B37" s="7" t="inlineStr">
        <is>
          <t xml:space="preserve">LEGACY (BEX-0xxx)</t>
        </is>
      </c>
      <c r="C37" s="10" t="inlineStr">
        <is>
          <t xml:space="preserve">ASIGNADO</t>
        </is>
      </c>
      <c r="D37" s="7" t="inlineStr">
        <is>
          <t xml:space="preserve">AARON PEDRO CHUQUIMIA CHAIRA</t>
        </is>
      </c>
      <c r="E37" s="10">
        <f>IFERROR(_xlfn.XLOOKUP([@Responsable_Actual],TablaPersonal[Nombres_Apellidos],TablaPersonal[Telefono]),"POR REGISTRAR")</f>
      </c>
      <c r="F37" s="7" t="inlineStr">
        <is>
          <t xml:space="preserve">CLAUDIA SHASKIA CALLE NINA</t>
        </is>
      </c>
      <c r="G37" s="7" t="inlineStr">
        <is>
          <t xml:space="preserve">LA PAZ</t>
        </is>
      </c>
      <c r="H37" s="6">
        <f>IF(COUNTIFS(TablaMovimientos[Codigo_BEX],[@Codigo_Activo])=0,"",_xlfn.MAXIFS(TablaMovimientos[Fecha],TablaMovimientos[Codigo_BEX],[@Codigo_Activo]))</f>
      </c>
      <c r="I3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37" s="10">
        <f>COUNTIFS(TablaMovimientos[Codigo_BEX],[@Codigo_Activo],TablaMovimientos[Tipo_Movimiento],"PERDIDA")</f>
      </c>
      <c r="K37" s="10">
        <f>IF(NOT(ISNUMBER([@Fecha_Ultima_Asignacion])),"",TODAY()-[@Fecha_Ultima_Asignacion])</f>
      </c>
      <c r="L37" s="7" t="inlineStr">
        <is>
          <t xml:space="preserve">Normalizado de BEX-162</t>
        </is>
      </c>
    </row>
    <row r="38">
      <c r="A38" s="7" t="inlineStr">
        <is>
          <t xml:space="preserve">BEX-0166</t>
        </is>
      </c>
      <c r="B38" s="7" t="inlineStr">
        <is>
          <t xml:space="preserve">LEGACY (BEX-0xxx)</t>
        </is>
      </c>
      <c r="C38" s="10" t="inlineStr">
        <is>
          <t xml:space="preserve">ASIGNADO</t>
        </is>
      </c>
      <c r="D38" s="7" t="inlineStr">
        <is>
          <t xml:space="preserve">KATTERIN VANESA MEDRANO ESPEJO</t>
        </is>
      </c>
      <c r="E38" s="10">
        <f>IFERROR(_xlfn.XLOOKUP([@Responsable_Actual],TablaPersonal[Nombres_Apellidos],TablaPersonal[Telefono]),"POR REGISTRAR")</f>
      </c>
      <c r="F38" s="7" t="inlineStr">
        <is>
          <t xml:space="preserve">MILENKO ADRIANA ORDONEZ NUNEZ</t>
        </is>
      </c>
      <c r="G38" s="7" t="inlineStr">
        <is>
          <t xml:space="preserve">LA PAZ</t>
        </is>
      </c>
      <c r="H38" s="6">
        <f>IF(COUNTIFS(TablaMovimientos[Codigo_BEX],[@Codigo_Activo])=0,"",_xlfn.MAXIFS(TablaMovimientos[Fecha],TablaMovimientos[Codigo_BEX],[@Codigo_Activo]))</f>
      </c>
      <c r="I3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38" s="10">
        <f>COUNTIFS(TablaMovimientos[Codigo_BEX],[@Codigo_Activo],TablaMovimientos[Tipo_Movimiento],"PERDIDA")</f>
      </c>
      <c r="K38" s="10">
        <f>IF(NOT(ISNUMBER([@Fecha_Ultima_Asignacion])),"",TODAY()-[@Fecha_Ultima_Asignacion])</f>
      </c>
      <c r="L38" s="7" t="inlineStr">
        <is>
          <t xml:space="preserve"/>
        </is>
      </c>
    </row>
    <row r="39">
      <c r="A39" s="7" t="inlineStr">
        <is>
          <t xml:space="preserve">BEX-0167</t>
        </is>
      </c>
      <c r="B39" s="7" t="inlineStr">
        <is>
          <t xml:space="preserve">LEGACY (BEX-0xxx)</t>
        </is>
      </c>
      <c r="C39" s="10" t="inlineStr">
        <is>
          <t xml:space="preserve">ASIGNADO</t>
        </is>
      </c>
      <c r="D39" s="7" t="inlineStr">
        <is>
          <t xml:space="preserve">ADRIANA ALEJANDRA AREVALO HERBAS</t>
        </is>
      </c>
      <c r="E39" s="10">
        <f>IFERROR(_xlfn.XLOOKUP([@Responsable_Actual],TablaPersonal[Nombres_Apellidos],TablaPersonal[Telefono]),"POR REGISTRAR")</f>
      </c>
      <c r="F39" s="7" t="inlineStr">
        <is>
          <t xml:space="preserve">MILENKO ADRIANA ORDONEZ NUNEZ</t>
        </is>
      </c>
      <c r="G39" s="7" t="inlineStr">
        <is>
          <t xml:space="preserve">LA PAZ</t>
        </is>
      </c>
      <c r="H39" s="6">
        <f>IF(COUNTIFS(TablaMovimientos[Codigo_BEX],[@Codigo_Activo])=0,"",_xlfn.MAXIFS(TablaMovimientos[Fecha],TablaMovimientos[Codigo_BEX],[@Codigo_Activo]))</f>
      </c>
      <c r="I3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39" s="10">
        <f>COUNTIFS(TablaMovimientos[Codigo_BEX],[@Codigo_Activo],TablaMovimientos[Tipo_Movimiento],"PERDIDA")</f>
      </c>
      <c r="K39" s="10">
        <f>IF(NOT(ISNUMBER([@Fecha_Ultima_Asignacion])),"",TODAY()-[@Fecha_Ultima_Asignacion])</f>
      </c>
      <c r="L39" s="7" t="inlineStr">
        <is>
          <t xml:space="preserve"/>
        </is>
      </c>
    </row>
    <row r="40">
      <c r="A40" s="7" t="inlineStr">
        <is>
          <t xml:space="preserve">BEX-0169</t>
        </is>
      </c>
      <c r="B40" s="7" t="inlineStr">
        <is>
          <t xml:space="preserve">LEGACY (BEX-0xxx)</t>
        </is>
      </c>
      <c r="C40" s="10" t="inlineStr">
        <is>
          <t xml:space="preserve">ASIGNADO</t>
        </is>
      </c>
      <c r="D40" s="7" t="inlineStr">
        <is>
          <t xml:space="preserve">MIGUEL ANGEL BLANCO RONDO</t>
        </is>
      </c>
      <c r="E40" s="10">
        <f>IFERROR(_xlfn.XLOOKUP([@Responsable_Actual],TablaPersonal[Nombres_Apellidos],TablaPersonal[Telefono]),"POR REGISTRAR")</f>
      </c>
      <c r="F40" s="7" t="inlineStr">
        <is>
          <t xml:space="preserve">CLAUDIA SHASKIA CALLE NINA</t>
        </is>
      </c>
      <c r="G40" s="7" t="inlineStr">
        <is>
          <t xml:space="preserve">LA PAZ</t>
        </is>
      </c>
      <c r="H40" s="6">
        <f>IF(COUNTIFS(TablaMovimientos[Codigo_BEX],[@Codigo_Activo])=0,"",_xlfn.MAXIFS(TablaMovimientos[Fecha],TablaMovimientos[Codigo_BEX],[@Codigo_Activo]))</f>
      </c>
      <c r="I4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40" s="10">
        <f>COUNTIFS(TablaMovimientos[Codigo_BEX],[@Codigo_Activo],TablaMovimientos[Tipo_Movimiento],"PERDIDA")</f>
      </c>
      <c r="K40" s="10">
        <f>IF(NOT(ISNUMBER([@Fecha_Ultima_Asignacion])),"",TODAY()-[@Fecha_Ultima_Asignacion])</f>
      </c>
      <c r="L40" s="7" t="inlineStr">
        <is>
          <t xml:space="preserve"/>
        </is>
      </c>
    </row>
    <row r="41">
      <c r="A41" s="7" t="inlineStr">
        <is>
          <t xml:space="preserve">BEX-0176</t>
        </is>
      </c>
      <c r="B41" s="7" t="inlineStr">
        <is>
          <t xml:space="preserve">LEGACY (BEX-0xxx)</t>
        </is>
      </c>
      <c r="C41" s="10" t="inlineStr">
        <is>
          <t xml:space="preserve">ASIGNADO</t>
        </is>
      </c>
      <c r="D41" s="7" t="inlineStr">
        <is>
          <t xml:space="preserve">CLAUDIA SHASKIA CALLE NINA / REYNA IVONNE CALLE NINA</t>
        </is>
      </c>
      <c r="E41" s="10">
        <f>IFERROR(_xlfn.XLOOKUP([@Responsable_Actual],TablaPersonal[Nombres_Apellidos],TablaPersonal[Telefono]),"POR REGISTRAR")</f>
      </c>
      <c r="F41" s="7" t="inlineStr">
        <is>
          <t xml:space="preserve">CLAUDIA SHASKIA CALLE NINA</t>
        </is>
      </c>
      <c r="G41" s="7" t="inlineStr">
        <is>
          <t xml:space="preserve">LA PAZ</t>
        </is>
      </c>
      <c r="H41" s="6">
        <f>IF(COUNTIFS(TablaMovimientos[Codigo_BEX],[@Codigo_Activo])=0,"",_xlfn.MAXIFS(TablaMovimientos[Fecha],TablaMovimientos[Codigo_BEX],[@Codigo_Activo]))</f>
      </c>
      <c r="I4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41" s="10">
        <f>COUNTIFS(TablaMovimientos[Codigo_BEX],[@Codigo_Activo],TablaMovimientos[Tipo_Movimiento],"PERDIDA")</f>
      </c>
      <c r="K41" s="10">
        <f>IF(NOT(ISNUMBER([@Fecha_Ultima_Asignacion])),"",TODAY()-[@Fecha_Ultima_Asignacion])</f>
      </c>
      <c r="L41" s="7" t="inlineStr">
        <is>
          <t xml:space="preserve">⚠️ DUPLICADO CRITICO: Mismo codigo asignado a 2 personas</t>
        </is>
      </c>
    </row>
    <row r="42">
      <c r="A42" s="7" t="inlineStr">
        <is>
          <t xml:space="preserve">BEX-0179</t>
        </is>
      </c>
      <c r="B42" s="7" t="inlineStr">
        <is>
          <t xml:space="preserve">LEGACY (BEX-0xxx)</t>
        </is>
      </c>
      <c r="C42" s="10" t="inlineStr">
        <is>
          <t xml:space="preserve">ASIGNADO</t>
        </is>
      </c>
      <c r="D42" s="7" t="inlineStr">
        <is>
          <t xml:space="preserve">MARIA EMILIA HUAYLLA ALMANZA</t>
        </is>
      </c>
      <c r="E42" s="10">
        <f>IFERROR(_xlfn.XLOOKUP([@Responsable_Actual],TablaPersonal[Nombres_Apellidos],TablaPersonal[Telefono]),"POR REGISTRAR")</f>
      </c>
      <c r="F42" s="7" t="inlineStr">
        <is>
          <t xml:space="preserve">MILENKO ADRIANA ORDONEZ NUNEZ</t>
        </is>
      </c>
      <c r="G42" s="7" t="inlineStr">
        <is>
          <t xml:space="preserve">LA PAZ</t>
        </is>
      </c>
      <c r="H42" s="6">
        <f>IF(COUNTIFS(TablaMovimientos[Codigo_BEX],[@Codigo_Activo])=0,"",_xlfn.MAXIFS(TablaMovimientos[Fecha],TablaMovimientos[Codigo_BEX],[@Codigo_Activo]))</f>
      </c>
      <c r="I4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42" s="10">
        <f>COUNTIFS(TablaMovimientos[Codigo_BEX],[@Codigo_Activo],TablaMovimientos[Tipo_Movimiento],"PERDIDA")</f>
      </c>
      <c r="K42" s="10">
        <f>IF(NOT(ISNUMBER([@Fecha_Ultima_Asignacion])),"",TODAY()-[@Fecha_Ultima_Asignacion])</f>
      </c>
      <c r="L42" s="7" t="inlineStr">
        <is>
          <t xml:space="preserve"/>
        </is>
      </c>
    </row>
    <row r="43">
      <c r="A43" s="7" t="inlineStr">
        <is>
          <t xml:space="preserve">BEX-0184</t>
        </is>
      </c>
      <c r="B43" s="7" t="inlineStr">
        <is>
          <t xml:space="preserve">LEGACY (BEX-0xxx)</t>
        </is>
      </c>
      <c r="C43" s="10" t="inlineStr">
        <is>
          <t xml:space="preserve">ASIGNADO</t>
        </is>
      </c>
      <c r="D43" s="7" t="inlineStr">
        <is>
          <t xml:space="preserve">DARING ACARAPI MAMANI</t>
        </is>
      </c>
      <c r="E43" s="10">
        <f>IFERROR(_xlfn.XLOOKUP([@Responsable_Actual],TablaPersonal[Nombres_Apellidos],TablaPersonal[Telefono]),"POR REGISTRAR")</f>
      </c>
      <c r="F43" s="7" t="inlineStr">
        <is>
          <t xml:space="preserve">GERCY EVER ERGUETA KIPPES</t>
        </is>
      </c>
      <c r="G43" s="7" t="inlineStr">
        <is>
          <t xml:space="preserve">LA PAZ</t>
        </is>
      </c>
      <c r="H43" s="6">
        <f>IF(COUNTIFS(TablaMovimientos[Codigo_BEX],[@Codigo_Activo])=0,"",_xlfn.MAXIFS(TablaMovimientos[Fecha],TablaMovimientos[Codigo_BEX],[@Codigo_Activo]))</f>
      </c>
      <c r="I4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43" s="10">
        <f>COUNTIFS(TablaMovimientos[Codigo_BEX],[@Codigo_Activo],TablaMovimientos[Tipo_Movimiento],"PERDIDA")</f>
      </c>
      <c r="K43" s="10">
        <f>IF(NOT(ISNUMBER([@Fecha_Ultima_Asignacion])),"",TODAY()-[@Fecha_Ultima_Asignacion])</f>
      </c>
      <c r="L43" s="7" t="inlineStr">
        <is>
          <t xml:space="preserve">Normalizado de BEX-184</t>
        </is>
      </c>
    </row>
    <row r="44">
      <c r="A44" s="7" t="inlineStr">
        <is>
          <t xml:space="preserve">BEX-0186</t>
        </is>
      </c>
      <c r="B44" s="7" t="inlineStr">
        <is>
          <t xml:space="preserve">LEGACY (BEX-0xxx)</t>
        </is>
      </c>
      <c r="C44" s="10" t="inlineStr">
        <is>
          <t xml:space="preserve">ASIGNADO</t>
        </is>
      </c>
      <c r="D44" s="7" t="inlineStr">
        <is>
          <t xml:space="preserve">DANIELA ANDREA VARGAS AREVALO</t>
        </is>
      </c>
      <c r="E44" s="10">
        <f>IFERROR(_xlfn.XLOOKUP([@Responsable_Actual],TablaPersonal[Nombres_Apellidos],TablaPersonal[Telefono]),"POR REGISTRAR")</f>
      </c>
      <c r="F44" s="7" t="inlineStr">
        <is>
          <t xml:space="preserve">MILENKO ADRIANA ORDONEZ NUNEZ</t>
        </is>
      </c>
      <c r="G44" s="7" t="inlineStr">
        <is>
          <t xml:space="preserve">LA PAZ</t>
        </is>
      </c>
      <c r="H44" s="6">
        <f>IF(COUNTIFS(TablaMovimientos[Codigo_BEX],[@Codigo_Activo])=0,"",_xlfn.MAXIFS(TablaMovimientos[Fecha],TablaMovimientos[Codigo_BEX],[@Codigo_Activo]))</f>
      </c>
      <c r="I4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44" s="10">
        <f>COUNTIFS(TablaMovimientos[Codigo_BEX],[@Codigo_Activo],TablaMovimientos[Tipo_Movimiento],"PERDIDA")</f>
      </c>
      <c r="K44" s="10">
        <f>IF(NOT(ISNUMBER([@Fecha_Ultima_Asignacion])),"",TODAY()-[@Fecha_Ultima_Asignacion])</f>
      </c>
      <c r="L44" s="7" t="inlineStr">
        <is>
          <t xml:space="preserve"/>
        </is>
      </c>
    </row>
    <row r="45">
      <c r="A45" s="7" t="inlineStr">
        <is>
          <t xml:space="preserve">BEX-0187</t>
        </is>
      </c>
      <c r="B45" s="7" t="inlineStr">
        <is>
          <t xml:space="preserve">LEGACY (BEX-0xxx)</t>
        </is>
      </c>
      <c r="C45" s="10" t="inlineStr">
        <is>
          <t xml:space="preserve">ASIGNADO</t>
        </is>
      </c>
      <c r="D45" s="7" t="inlineStr">
        <is>
          <t xml:space="preserve">VANESSA ILLANES YUJRA</t>
        </is>
      </c>
      <c r="E45" s="10">
        <f>IFERROR(_xlfn.XLOOKUP([@Responsable_Actual],TablaPersonal[Nombres_Apellidos],TablaPersonal[Telefono]),"POR REGISTRAR")</f>
      </c>
      <c r="F45" s="7" t="inlineStr">
        <is>
          <t xml:space="preserve">JOEL DAVID HUANCA HUANCA</t>
        </is>
      </c>
      <c r="G45" s="7" t="inlineStr">
        <is>
          <t xml:space="preserve">LA PAZ</t>
        </is>
      </c>
      <c r="H45" s="6">
        <f>IF(COUNTIFS(TablaMovimientos[Codigo_BEX],[@Codigo_Activo])=0,"",_xlfn.MAXIFS(TablaMovimientos[Fecha],TablaMovimientos[Codigo_BEX],[@Codigo_Activo]))</f>
      </c>
      <c r="I4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45" s="10">
        <f>COUNTIFS(TablaMovimientos[Codigo_BEX],[@Codigo_Activo],TablaMovimientos[Tipo_Movimiento],"PERDIDA")</f>
      </c>
      <c r="K45" s="10">
        <f>IF(NOT(ISNUMBER([@Fecha_Ultima_Asignacion])),"",TODAY()-[@Fecha_Ultima_Asignacion])</f>
      </c>
      <c r="L45" s="7" t="inlineStr">
        <is>
          <t xml:space="preserve"/>
        </is>
      </c>
    </row>
    <row r="46">
      <c r="A46" s="7" t="inlineStr">
        <is>
          <t xml:space="preserve">BEX-0192</t>
        </is>
      </c>
      <c r="B46" s="7" t="inlineStr">
        <is>
          <t xml:space="preserve">LEGACY (BEX-0xxx)</t>
        </is>
      </c>
      <c r="C46" s="10" t="inlineStr">
        <is>
          <t xml:space="preserve">ASIGNADO</t>
        </is>
      </c>
      <c r="D46" s="7" t="inlineStr">
        <is>
          <t xml:space="preserve">FRANZ RODRIGO LEVANDRO PANUNI</t>
        </is>
      </c>
      <c r="E46" s="10">
        <f>IFERROR(_xlfn.XLOOKUP([@Responsable_Actual],TablaPersonal[Nombres_Apellidos],TablaPersonal[Telefono]),"POR REGISTRAR")</f>
      </c>
      <c r="F46" s="7" t="inlineStr">
        <is>
          <t xml:space="preserve">JOEL DAVID HUANCA HUANCA</t>
        </is>
      </c>
      <c r="G46" s="7" t="inlineStr">
        <is>
          <t xml:space="preserve">LA PAZ</t>
        </is>
      </c>
      <c r="H46" s="6">
        <f>IF(COUNTIFS(TablaMovimientos[Codigo_BEX],[@Codigo_Activo])=0,"",_xlfn.MAXIFS(TablaMovimientos[Fecha],TablaMovimientos[Codigo_BEX],[@Codigo_Activo]))</f>
      </c>
      <c r="I4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46" s="10">
        <f>COUNTIFS(TablaMovimientos[Codigo_BEX],[@Codigo_Activo],TablaMovimientos[Tipo_Movimiento],"PERDIDA")</f>
      </c>
      <c r="K46" s="10">
        <f>IF(NOT(ISNUMBER([@Fecha_Ultima_Asignacion])),"",TODAY()-[@Fecha_Ultima_Asignacion])</f>
      </c>
      <c r="L46" s="7" t="inlineStr">
        <is>
          <t xml:space="preserve"/>
        </is>
      </c>
    </row>
    <row r="47">
      <c r="A47" s="7" t="inlineStr">
        <is>
          <t xml:space="preserve">BEX-0195</t>
        </is>
      </c>
      <c r="B47" s="7" t="inlineStr">
        <is>
          <t xml:space="preserve">LEGACY (BEX-0xxx)</t>
        </is>
      </c>
      <c r="C47" s="10" t="inlineStr">
        <is>
          <t xml:space="preserve">DISPONIBLE</t>
        </is>
      </c>
      <c r="D47" s="7" t="inlineStr">
        <is>
          <t xml:space="preserve">LORENA (INACTIVO)</t>
        </is>
      </c>
      <c r="E47" s="10">
        <f>IFERROR(_xlfn.XLOOKUP([@Responsable_Actual],TablaPersonal[Nombres_Apellidos],TablaPersonal[Telefono]),"POR REGISTRAR")</f>
      </c>
      <c r="F47" s="7" t="inlineStr">
        <is>
          <t xml:space="preserve">BEATRIZ OVIEDO OVIEDO</t>
        </is>
      </c>
      <c r="G47" s="7" t="inlineStr">
        <is>
          <t xml:space="preserve">SANTA CRUZ</t>
        </is>
      </c>
      <c r="H47" s="6">
        <f>IF(COUNTIFS(TablaMovimientos[Codigo_BEX],[@Codigo_Activo])=0,"",_xlfn.MAXIFS(TablaMovimientos[Fecha],TablaMovimientos[Codigo_BEX],[@Codigo_Activo]))</f>
      </c>
      <c r="I4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47" s="10">
        <f>COUNTIFS(TablaMovimientos[Codigo_BEX],[@Codigo_Activo],TablaMovimientos[Tipo_Movimiento],"PERDIDA")</f>
      </c>
      <c r="K47" s="10">
        <f>IF(NOT(ISNUMBER([@Fecha_Ultima_Asignacion])),"",TODAY()-[@Fecha_Ultima_Asignacion])</f>
      </c>
      <c r="L47" s="7" t="inlineStr">
        <is>
          <t xml:space="preserve">Persona inactiva - nombre incompleto</t>
        </is>
      </c>
    </row>
    <row r="48">
      <c r="A48" s="7" t="inlineStr">
        <is>
          <t xml:space="preserve">BEX-0196</t>
        </is>
      </c>
      <c r="B48" s="7" t="inlineStr">
        <is>
          <t xml:space="preserve">LEGACY (BEX-0xxx)</t>
        </is>
      </c>
      <c r="C48" s="10" t="inlineStr">
        <is>
          <t xml:space="preserve">ASIGNADO</t>
        </is>
      </c>
      <c r="D48" s="7" t="inlineStr">
        <is>
          <t xml:space="preserve">BEATRIZ OVIEDO OVIEDO</t>
        </is>
      </c>
      <c r="E48" s="10">
        <f>IFERROR(_xlfn.XLOOKUP([@Responsable_Actual],TablaPersonal[Nombres_Apellidos],TablaPersonal[Telefono]),"POR REGISTRAR")</f>
      </c>
      <c r="F48" s="7" t="inlineStr">
        <is>
          <t xml:space="preserve">BEATRIZ OVIEDO OVIEDO</t>
        </is>
      </c>
      <c r="G48" s="7" t="inlineStr">
        <is>
          <t xml:space="preserve">SANTA CRUZ</t>
        </is>
      </c>
      <c r="H48" s="6">
        <f>IF(COUNTIFS(TablaMovimientos[Codigo_BEX],[@Codigo_Activo])=0,"",_xlfn.MAXIFS(TablaMovimientos[Fecha],TablaMovimientos[Codigo_BEX],[@Codigo_Activo]))</f>
      </c>
      <c r="I4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48" s="10">
        <f>COUNTIFS(TablaMovimientos[Codigo_BEX],[@Codigo_Activo],TablaMovimientos[Tipo_Movimiento],"PERDIDA")</f>
      </c>
      <c r="K48" s="10">
        <f>IF(NOT(ISNUMBER([@Fecha_Ultima_Asignacion])),"",TODAY()-[@Fecha_Ultima_Asignacion])</f>
      </c>
      <c r="L48" s="7" t="inlineStr">
        <is>
          <t xml:space="preserve"/>
        </is>
      </c>
    </row>
    <row r="49">
      <c r="A49" s="7" t="inlineStr">
        <is>
          <t xml:space="preserve">BEX-0198</t>
        </is>
      </c>
      <c r="B49" s="7" t="inlineStr">
        <is>
          <t xml:space="preserve">LEGACY (BEX-0xxx)</t>
        </is>
      </c>
      <c r="C49" s="10" t="inlineStr">
        <is>
          <t xml:space="preserve">ASIGNADO</t>
        </is>
      </c>
      <c r="D49" s="7" t="inlineStr">
        <is>
          <t xml:space="preserve">JENNY CRISTINA ECHALAR MONTALVO</t>
        </is>
      </c>
      <c r="E49" s="10">
        <f>IFERROR(_xlfn.XLOOKUP([@Responsable_Actual],TablaPersonal[Nombres_Apellidos],TablaPersonal[Telefono]),"POR REGISTRAR")</f>
      </c>
      <c r="F49" s="7" t="inlineStr">
        <is>
          <t xml:space="preserve">JENNY CRISTINA ECHALAR MONTALVO</t>
        </is>
      </c>
      <c r="G49" s="7" t="inlineStr">
        <is>
          <t xml:space="preserve">SUCRE</t>
        </is>
      </c>
      <c r="H49" s="6">
        <f>IF(COUNTIFS(TablaMovimientos[Codigo_BEX],[@Codigo_Activo])=0,"",_xlfn.MAXIFS(TablaMovimientos[Fecha],TablaMovimientos[Codigo_BEX],[@Codigo_Activo]))</f>
      </c>
      <c r="I4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49" s="10">
        <f>COUNTIFS(TablaMovimientos[Codigo_BEX],[@Codigo_Activo],TablaMovimientos[Tipo_Movimiento],"PERDIDA")</f>
      </c>
      <c r="K49" s="10">
        <f>IF(NOT(ISNUMBER([@Fecha_Ultima_Asignacion])),"",TODAY()-[@Fecha_Ultima_Asignacion])</f>
      </c>
      <c r="L49" s="7" t="inlineStr">
        <is>
          <t xml:space="preserve">Normalizado de BEX-198</t>
        </is>
      </c>
    </row>
    <row r="50">
      <c r="A50" s="7" t="inlineStr">
        <is>
          <t xml:space="preserve">BEX-0298</t>
        </is>
      </c>
      <c r="B50" s="7" t="inlineStr">
        <is>
          <t xml:space="preserve">LEGACY (BEX-0xxx)</t>
        </is>
      </c>
      <c r="C50" s="10" t="inlineStr">
        <is>
          <t xml:space="preserve">ASIGNADO</t>
        </is>
      </c>
      <c r="D50" s="7" t="inlineStr">
        <is>
          <t xml:space="preserve">HASIRA DANIELA OSINAGA CHOQUE</t>
        </is>
      </c>
      <c r="E50" s="10">
        <f>IFERROR(_xlfn.XLOOKUP([@Responsable_Actual],TablaPersonal[Nombres_Apellidos],TablaPersonal[Telefono]),"POR REGISTRAR")</f>
      </c>
      <c r="F50" s="7" t="inlineStr">
        <is>
          <t xml:space="preserve">HASIRA DANIELA OSINAGA CHOQUE</t>
        </is>
      </c>
      <c r="G50" s="7" t="inlineStr">
        <is>
          <t xml:space="preserve">COCHABAMBA</t>
        </is>
      </c>
      <c r="H50" s="6">
        <f>IF(COUNTIFS(TablaMovimientos[Codigo_BEX],[@Codigo_Activo])=0,"",_xlfn.MAXIFS(TablaMovimientos[Fecha],TablaMovimientos[Codigo_BEX],[@Codigo_Activo]))</f>
      </c>
      <c r="I5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50" s="10">
        <f>COUNTIFS(TablaMovimientos[Codigo_BEX],[@Codigo_Activo],TablaMovimientos[Tipo_Movimiento],"PERDIDA")</f>
      </c>
      <c r="K50" s="10">
        <f>IF(NOT(ISNUMBER([@Fecha_Ultima_Asignacion])),"",TODAY()-[@Fecha_Ultima_Asignacion])</f>
      </c>
      <c r="L50" s="7" t="inlineStr">
        <is>
          <t xml:space="preserve"/>
        </is>
      </c>
    </row>
    <row r="51">
      <c r="A51" s="7" t="inlineStr">
        <is>
          <t xml:space="preserve">BEX-0368</t>
        </is>
      </c>
      <c r="B51" s="7" t="inlineStr">
        <is>
          <t xml:space="preserve">LEGACY (BEX-0xxx)</t>
        </is>
      </c>
      <c r="C51" s="10" t="inlineStr">
        <is>
          <t xml:space="preserve">ASIGNADO</t>
        </is>
      </c>
      <c r="D51" s="7" t="inlineStr">
        <is>
          <t xml:space="preserve">DANIELA LUCERO FLAVIA MIRANDA</t>
        </is>
      </c>
      <c r="E51" s="10">
        <f>IFERROR(_xlfn.XLOOKUP([@Responsable_Actual],TablaPersonal[Nombres_Apellidos],TablaPersonal[Telefono]),"POR REGISTRAR")</f>
      </c>
      <c r="F51" s="7" t="inlineStr">
        <is>
          <t xml:space="preserve">CLAUDIA SHASKIA CALLE NINA</t>
        </is>
      </c>
      <c r="G51" s="7" t="inlineStr">
        <is>
          <t xml:space="preserve">LA PAZ</t>
        </is>
      </c>
      <c r="H51" s="6">
        <f>IF(COUNTIFS(TablaMovimientos[Codigo_BEX],[@Codigo_Activo])=0,"",_xlfn.MAXIFS(TablaMovimientos[Fecha],TablaMovimientos[Codigo_BEX],[@Codigo_Activo]))</f>
      </c>
      <c r="I5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51" s="10">
        <f>COUNTIFS(TablaMovimientos[Codigo_BEX],[@Codigo_Activo],TablaMovimientos[Tipo_Movimiento],"PERDIDA")</f>
      </c>
      <c r="K51" s="10">
        <f>IF(NOT(ISNUMBER([@Fecha_Ultima_Asignacion])),"",TODAY()-[@Fecha_Ultima_Asignacion])</f>
      </c>
      <c r="L51" s="7" t="inlineStr">
        <is>
          <t xml:space="preserve"/>
        </is>
      </c>
    </row>
    <row r="52">
      <c r="A52" s="7" t="inlineStr">
        <is>
          <t xml:space="preserve">BEX-0501</t>
        </is>
      </c>
      <c r="B52" s="7" t="inlineStr">
        <is>
          <t xml:space="preserve">LEGACY (BEX-0xxx)</t>
        </is>
      </c>
      <c r="C52" s="10" t="inlineStr">
        <is>
          <t xml:space="preserve">ASIGNADO</t>
        </is>
      </c>
      <c r="D52" s="7" t="inlineStr">
        <is>
          <t xml:space="preserve">LUIS FERNANDO ARAGUIRA CHAMO</t>
        </is>
      </c>
      <c r="E52" s="10">
        <f>IFERROR(_xlfn.XLOOKUP([@Responsable_Actual],TablaPersonal[Nombres_Apellidos],TablaPersonal[Telefono]),"POR REGISTRAR")</f>
      </c>
      <c r="F52" s="7" t="inlineStr">
        <is>
          <t xml:space="preserve">BEATRIZ OVIEDO OVIEDO</t>
        </is>
      </c>
      <c r="G52" s="7" t="inlineStr">
        <is>
          <t xml:space="preserve">SANTA CRUZ</t>
        </is>
      </c>
      <c r="H52" s="6">
        <f>IF(COUNTIFS(TablaMovimientos[Codigo_BEX],[@Codigo_Activo])=0,"",_xlfn.MAXIFS(TablaMovimientos[Fecha],TablaMovimientos[Codigo_BEX],[@Codigo_Activo]))</f>
      </c>
      <c r="I5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52" s="10">
        <f>COUNTIFS(TablaMovimientos[Codigo_BEX],[@Codigo_Activo],TablaMovimientos[Tipo_Movimiento],"PERDIDA")</f>
      </c>
      <c r="K52" s="10">
        <f>IF(NOT(ISNUMBER([@Fecha_Ultima_Asignacion])),"",TODAY()-[@Fecha_Ultima_Asignacion])</f>
      </c>
      <c r="L52" s="7" t="inlineStr">
        <is>
          <t xml:space="preserve"/>
        </is>
      </c>
    </row>
    <row r="53">
      <c r="A53" s="7" t="inlineStr">
        <is>
          <t xml:space="preserve">BEX-0505</t>
        </is>
      </c>
      <c r="B53" s="7" t="inlineStr">
        <is>
          <t xml:space="preserve">LEGACY (BEX-0xxx)</t>
        </is>
      </c>
      <c r="C53" s="10" t="inlineStr">
        <is>
          <t xml:space="preserve">ASIGNADO</t>
        </is>
      </c>
      <c r="D53" s="7" t="inlineStr">
        <is>
          <t xml:space="preserve">TOMAS (NOMBRE INCOMPLETO)</t>
        </is>
      </c>
      <c r="E53" s="10">
        <f>IFERROR(_xlfn.XLOOKUP([@Responsable_Actual],TablaPersonal[Nombres_Apellidos],TablaPersonal[Telefono]),"POR REGISTRAR")</f>
      </c>
      <c r="F53" s="7" t="inlineStr">
        <is>
          <t xml:space="preserve">BEATRIZ OVIEDO OVIEDO</t>
        </is>
      </c>
      <c r="G53" s="7" t="inlineStr">
        <is>
          <t xml:space="preserve">SANTA CRUZ</t>
        </is>
      </c>
      <c r="H53" s="6">
        <f>IF(COUNTIFS(TablaMovimientos[Codigo_BEX],[@Codigo_Activo])=0,"",_xlfn.MAXIFS(TablaMovimientos[Fecha],TablaMovimientos[Codigo_BEX],[@Codigo_Activo]))</f>
      </c>
      <c r="I5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53" s="10">
        <f>COUNTIFS(TablaMovimientos[Codigo_BEX],[@Codigo_Activo],TablaMovimientos[Tipo_Movimiento],"PERDIDA")</f>
      </c>
      <c r="K53" s="10">
        <f>IF(NOT(ISNUMBER([@Fecha_Ultima_Asignacion])),"",TODAY()-[@Fecha_Ultima_Asignacion])</f>
      </c>
      <c r="L53" s="7" t="inlineStr">
        <is>
          <t xml:space="preserve">Completar nombre</t>
        </is>
      </c>
    </row>
    <row r="54">
      <c r="A54" s="7" t="inlineStr">
        <is>
          <t xml:space="preserve">BEX-0510</t>
        </is>
      </c>
      <c r="B54" s="7" t="inlineStr">
        <is>
          <t xml:space="preserve">LEGACY (BEX-0xxx)</t>
        </is>
      </c>
      <c r="C54" s="10" t="inlineStr">
        <is>
          <t xml:space="preserve">ASIGNADO</t>
        </is>
      </c>
      <c r="D54" s="7" t="inlineStr">
        <is>
          <t xml:space="preserve">JIMENA RIVERO LOAYZA</t>
        </is>
      </c>
      <c r="E54" s="10">
        <f>IFERROR(_xlfn.XLOOKUP([@Responsable_Actual],TablaPersonal[Nombres_Apellidos],TablaPersonal[Telefono]),"POR REGISTRAR")</f>
      </c>
      <c r="F54" s="7" t="inlineStr">
        <is>
          <t xml:space="preserve">BEATRIZ OVIEDO OVIEDO</t>
        </is>
      </c>
      <c r="G54" s="7" t="inlineStr">
        <is>
          <t xml:space="preserve">SANTA CRUZ</t>
        </is>
      </c>
      <c r="H54" s="6">
        <f>IF(COUNTIFS(TablaMovimientos[Codigo_BEX],[@Codigo_Activo])=0,"",_xlfn.MAXIFS(TablaMovimientos[Fecha],TablaMovimientos[Codigo_BEX],[@Codigo_Activo]))</f>
      </c>
      <c r="I5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54" s="10">
        <f>COUNTIFS(TablaMovimientos[Codigo_BEX],[@Codigo_Activo],TablaMovimientos[Tipo_Movimiento],"PERDIDA")</f>
      </c>
      <c r="K54" s="10">
        <f>IF(NOT(ISNUMBER([@Fecha_Ultima_Asignacion])),"",TODAY()-[@Fecha_Ultima_Asignacion])</f>
      </c>
      <c r="L54" s="7" t="inlineStr">
        <is>
          <t xml:space="preserve"/>
        </is>
      </c>
    </row>
    <row r="55">
      <c r="A55" s="7" t="inlineStr">
        <is>
          <t xml:space="preserve">BEX-0511</t>
        </is>
      </c>
      <c r="B55" s="7" t="inlineStr">
        <is>
          <t xml:space="preserve">LEGACY (BEX-0xxx)</t>
        </is>
      </c>
      <c r="C55" s="10" t="inlineStr">
        <is>
          <t xml:space="preserve">ASIGNADO</t>
        </is>
      </c>
      <c r="D55" s="7" t="inlineStr">
        <is>
          <t xml:space="preserve">EVELYN CARMELA ESPINOZA CASTRO</t>
        </is>
      </c>
      <c r="E55" s="10">
        <f>IFERROR(_xlfn.XLOOKUP([@Responsable_Actual],TablaPersonal[Nombres_Apellidos],TablaPersonal[Telefono]),"POR REGISTRAR")</f>
      </c>
      <c r="F55" s="7" t="inlineStr">
        <is>
          <t xml:space="preserve">HASIRA DANIELA OSINAGA CHOQUE</t>
        </is>
      </c>
      <c r="G55" s="7" t="inlineStr">
        <is>
          <t xml:space="preserve">COCHABAMBA</t>
        </is>
      </c>
      <c r="H55" s="6">
        <f>IF(COUNTIFS(TablaMovimientos[Codigo_BEX],[@Codigo_Activo])=0,"",_xlfn.MAXIFS(TablaMovimientos[Fecha],TablaMovimientos[Codigo_BEX],[@Codigo_Activo]))</f>
      </c>
      <c r="I5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55" s="10">
        <f>COUNTIFS(TablaMovimientos[Codigo_BEX],[@Codigo_Activo],TablaMovimientos[Tipo_Movimiento],"PERDIDA")</f>
      </c>
      <c r="K55" s="10">
        <f>IF(NOT(ISNUMBER([@Fecha_Ultima_Asignacion])),"",TODAY()-[@Fecha_Ultima_Asignacion])</f>
      </c>
      <c r="L55" s="7" t="inlineStr">
        <is>
          <t xml:space="preserve"/>
        </is>
      </c>
    </row>
    <row r="56">
      <c r="A56" s="7" t="inlineStr">
        <is>
          <t xml:space="preserve">BEX-0513</t>
        </is>
      </c>
      <c r="B56" s="7" t="inlineStr">
        <is>
          <t xml:space="preserve">LEGACY (BEX-0xxx)</t>
        </is>
      </c>
      <c r="C56" s="10" t="inlineStr">
        <is>
          <t xml:space="preserve">ASIGNADO</t>
        </is>
      </c>
      <c r="D56" s="7" t="inlineStr">
        <is>
          <t xml:space="preserve">DANIEL GUTIERREZ PEDRAZA</t>
        </is>
      </c>
      <c r="E56" s="10">
        <f>IFERROR(_xlfn.XLOOKUP([@Responsable_Actual],TablaPersonal[Nombres_Apellidos],TablaPersonal[Telefono]),"POR REGISTRAR")</f>
      </c>
      <c r="F56" s="7" t="inlineStr">
        <is>
          <t xml:space="preserve">JOSE GUTIERREZ PEDRAZA</t>
        </is>
      </c>
      <c r="G56" s="7" t="inlineStr">
        <is>
          <t xml:space="preserve">SANTA CRUZ</t>
        </is>
      </c>
      <c r="H56" s="6">
        <f>IF(COUNTIFS(TablaMovimientos[Codigo_BEX],[@Codigo_Activo])=0,"",_xlfn.MAXIFS(TablaMovimientos[Fecha],TablaMovimientos[Codigo_BEX],[@Codigo_Activo]))</f>
      </c>
      <c r="I5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56" s="10">
        <f>COUNTIFS(TablaMovimientos[Codigo_BEX],[@Codigo_Activo],TablaMovimientos[Tipo_Movimiento],"PERDIDA")</f>
      </c>
      <c r="K56" s="10">
        <f>IF(NOT(ISNUMBER([@Fecha_Ultima_Asignacion])),"",TODAY()-[@Fecha_Ultima_Asignacion])</f>
      </c>
      <c r="L56" s="7" t="inlineStr">
        <is>
          <t xml:space="preserve"/>
        </is>
      </c>
    </row>
    <row r="57">
      <c r="A57" s="7" t="inlineStr">
        <is>
          <t xml:space="preserve">BEX-0514</t>
        </is>
      </c>
      <c r="B57" s="7" t="inlineStr">
        <is>
          <t xml:space="preserve">LEGACY (BEX-0xxx)</t>
        </is>
      </c>
      <c r="C57" s="10" t="inlineStr">
        <is>
          <t xml:space="preserve">ASIGNADO</t>
        </is>
      </c>
      <c r="D57" s="7" t="inlineStr">
        <is>
          <t xml:space="preserve">DAYANA CELENCA CHACON PINTO</t>
        </is>
      </c>
      <c r="E57" s="10">
        <f>IFERROR(_xlfn.XLOOKUP([@Responsable_Actual],TablaPersonal[Nombres_Apellidos],TablaPersonal[Telefono]),"POR REGISTRAR")</f>
      </c>
      <c r="F57" s="7" t="inlineStr">
        <is>
          <t xml:space="preserve">MIRIAM ROSA CHAMBI QUISPE</t>
        </is>
      </c>
      <c r="G57" s="7" t="inlineStr">
        <is>
          <t xml:space="preserve">ORURO</t>
        </is>
      </c>
      <c r="H57" s="6">
        <f>IF(COUNTIFS(TablaMovimientos[Codigo_BEX],[@Codigo_Activo])=0,"",_xlfn.MAXIFS(TablaMovimientos[Fecha],TablaMovimientos[Codigo_BEX],[@Codigo_Activo]))</f>
      </c>
      <c r="I5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57" s="10">
        <f>COUNTIFS(TablaMovimientos[Codigo_BEX],[@Codigo_Activo],TablaMovimientos[Tipo_Movimiento],"PERDIDA")</f>
      </c>
      <c r="K57" s="10">
        <f>IF(NOT(ISNUMBER([@Fecha_Ultima_Asignacion])),"",TODAY()-[@Fecha_Ultima_Asignacion])</f>
      </c>
      <c r="L57" s="7" t="inlineStr">
        <is>
          <t xml:space="preserve"/>
        </is>
      </c>
    </row>
    <row r="58">
      <c r="A58" s="7" t="inlineStr">
        <is>
          <t xml:space="preserve">BEX-0517</t>
        </is>
      </c>
      <c r="B58" s="7" t="inlineStr">
        <is>
          <t xml:space="preserve">LEGACY (BEX-0xxx)</t>
        </is>
      </c>
      <c r="C58" s="10" t="inlineStr">
        <is>
          <t xml:space="preserve">ASIGNADO</t>
        </is>
      </c>
      <c r="D58" s="7" t="inlineStr">
        <is>
          <t xml:space="preserve">SARAI VANESA TERAN GONZALES</t>
        </is>
      </c>
      <c r="E58" s="10">
        <f>IFERROR(_xlfn.XLOOKUP([@Responsable_Actual],TablaPersonal[Nombres_Apellidos],TablaPersonal[Telefono]),"POR REGISTRAR")</f>
      </c>
      <c r="F58" s="7" t="inlineStr">
        <is>
          <t xml:space="preserve">HASIRA DANIELA OSINAGA CHOQUE</t>
        </is>
      </c>
      <c r="G58" s="7" t="inlineStr">
        <is>
          <t xml:space="preserve">COCHABAMBA</t>
        </is>
      </c>
      <c r="H58" s="6">
        <f>IF(COUNTIFS(TablaMovimientos[Codigo_BEX],[@Codigo_Activo])=0,"",_xlfn.MAXIFS(TablaMovimientos[Fecha],TablaMovimientos[Codigo_BEX],[@Codigo_Activo]))</f>
      </c>
      <c r="I5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58" s="10">
        <f>COUNTIFS(TablaMovimientos[Codigo_BEX],[@Codigo_Activo],TablaMovimientos[Tipo_Movimiento],"PERDIDA")</f>
      </c>
      <c r="K58" s="10">
        <f>IF(NOT(ISNUMBER([@Fecha_Ultima_Asignacion])),"",TODAY()-[@Fecha_Ultima_Asignacion])</f>
      </c>
      <c r="L58" s="7" t="inlineStr">
        <is>
          <t xml:space="preserve"/>
        </is>
      </c>
    </row>
    <row r="59">
      <c r="A59" s="7" t="inlineStr">
        <is>
          <t xml:space="preserve">BEX-0518</t>
        </is>
      </c>
      <c r="B59" s="7" t="inlineStr">
        <is>
          <t xml:space="preserve">LEGACY (BEX-0xxx)</t>
        </is>
      </c>
      <c r="C59" s="10" t="inlineStr">
        <is>
          <t xml:space="preserve">PERDIDO</t>
        </is>
      </c>
      <c r="D59" s="7" t="inlineStr">
        <is>
          <t xml:space="preserve">MARCO ANTONIO ESCOBAR ALVAREZ</t>
        </is>
      </c>
      <c r="E59" s="10">
        <f>IFERROR(_xlfn.XLOOKUP([@Responsable_Actual],TablaPersonal[Nombres_Apellidos],TablaPersonal[Telefono]),"POR REGISTRAR")</f>
      </c>
      <c r="F59" s="7" t="inlineStr">
        <is>
          <t xml:space="preserve">BEATRIZ OVIEDO OVIEDO</t>
        </is>
      </c>
      <c r="G59" s="7" t="inlineStr">
        <is>
          <t xml:space="preserve">SANTA CRUZ</t>
        </is>
      </c>
      <c r="H59" s="6">
        <f>IF(COUNTIFS(TablaMovimientos[Codigo_BEX],[@Codigo_Activo])=0,"",_xlfn.MAXIFS(TablaMovimientos[Fecha],TablaMovimientos[Codigo_BEX],[@Codigo_Activo]))</f>
      </c>
      <c r="I5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59" s="10">
        <f>COUNTIFS(TablaMovimientos[Codigo_BEX],[@Codigo_Activo],TablaMovimientos[Tipo_Movimiento],"PERDIDA")</f>
      </c>
      <c r="K59" s="10">
        <f>IF(NOT(ISNUMBER([@Fecha_Ultima_Asignacion])),"",TODAY()-[@Fecha_Ultima_Asignacion])</f>
      </c>
      <c r="L59" s="7" t="inlineStr">
        <is>
          <t xml:space="preserve">Reportada como perdida - COBRAR AL GESTOR</t>
        </is>
      </c>
    </row>
    <row r="60">
      <c r="A60" s="7" t="inlineStr">
        <is>
          <t xml:space="preserve">BEX-0519</t>
        </is>
      </c>
      <c r="B60" s="7" t="inlineStr">
        <is>
          <t xml:space="preserve">LEGACY (BEX-0xxx)</t>
        </is>
      </c>
      <c r="C60" s="10" t="inlineStr">
        <is>
          <t xml:space="preserve">ASIGNADO</t>
        </is>
      </c>
      <c r="D60" s="7" t="inlineStr">
        <is>
          <t xml:space="preserve">DANIELA ASCARRAGA DOMINGUEZ</t>
        </is>
      </c>
      <c r="E60" s="10">
        <f>IFERROR(_xlfn.XLOOKUP([@Responsable_Actual],TablaPersonal[Nombres_Apellidos],TablaPersonal[Telefono]),"POR REGISTRAR")</f>
      </c>
      <c r="F60" s="7" t="inlineStr">
        <is>
          <t xml:space="preserve">JOSE GUTIERREZ PEDRAZA</t>
        </is>
      </c>
      <c r="G60" s="7" t="inlineStr">
        <is>
          <t xml:space="preserve">SANTA CRUZ</t>
        </is>
      </c>
      <c r="H60" s="6">
        <f>IF(COUNTIFS(TablaMovimientos[Codigo_BEX],[@Codigo_Activo])=0,"",_xlfn.MAXIFS(TablaMovimientos[Fecha],TablaMovimientos[Codigo_BEX],[@Codigo_Activo]))</f>
      </c>
      <c r="I6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60" s="10">
        <f>COUNTIFS(TablaMovimientos[Codigo_BEX],[@Codigo_Activo],TablaMovimientos[Tipo_Movimiento],"PERDIDA")</f>
      </c>
      <c r="K60" s="10">
        <f>IF(NOT(ISNUMBER([@Fecha_Ultima_Asignacion])),"",TODAY()-[@Fecha_Ultima_Asignacion])</f>
      </c>
      <c r="L60" s="7" t="inlineStr">
        <is>
          <t xml:space="preserve"/>
        </is>
      </c>
    </row>
    <row r="61">
      <c r="A61" s="7" t="inlineStr">
        <is>
          <t xml:space="preserve">BEX-0520</t>
        </is>
      </c>
      <c r="B61" s="7" t="inlineStr">
        <is>
          <t xml:space="preserve">LEGACY (BEX-0xxx)</t>
        </is>
      </c>
      <c r="C61" s="10" t="inlineStr">
        <is>
          <t xml:space="preserve">ASIGNADO</t>
        </is>
      </c>
      <c r="D61" s="7" t="inlineStr">
        <is>
          <t xml:space="preserve">KAREN LOPEZ CASTEDO</t>
        </is>
      </c>
      <c r="E61" s="10">
        <f>IFERROR(_xlfn.XLOOKUP([@Responsable_Actual],TablaPersonal[Nombres_Apellidos],TablaPersonal[Telefono]),"POR REGISTRAR")</f>
      </c>
      <c r="F61" s="7" t="inlineStr">
        <is>
          <t xml:space="preserve">JOSE GUTIERREZ PEDRAZA</t>
        </is>
      </c>
      <c r="G61" s="7" t="inlineStr">
        <is>
          <t xml:space="preserve">SANTA CRUZ</t>
        </is>
      </c>
      <c r="H61" s="6">
        <f>IF(COUNTIFS(TablaMovimientos[Codigo_BEX],[@Codigo_Activo])=0,"",_xlfn.MAXIFS(TablaMovimientos[Fecha],TablaMovimientos[Codigo_BEX],[@Codigo_Activo]))</f>
      </c>
      <c r="I6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61" s="10">
        <f>COUNTIFS(TablaMovimientos[Codigo_BEX],[@Codigo_Activo],TablaMovimientos[Tipo_Movimiento],"PERDIDA")</f>
      </c>
      <c r="K61" s="10">
        <f>IF(NOT(ISNUMBER([@Fecha_Ultima_Asignacion])),"",TODAY()-[@Fecha_Ultima_Asignacion])</f>
      </c>
      <c r="L61" s="7" t="inlineStr">
        <is>
          <t xml:space="preserve"/>
        </is>
      </c>
    </row>
    <row r="62">
      <c r="A62" s="7" t="inlineStr">
        <is>
          <t xml:space="preserve">BEX-0522</t>
        </is>
      </c>
      <c r="B62" s="7" t="inlineStr">
        <is>
          <t xml:space="preserve">LEGACY (BEX-0xxx)</t>
        </is>
      </c>
      <c r="C62" s="10" t="inlineStr">
        <is>
          <t xml:space="preserve">ASIGNADO</t>
        </is>
      </c>
      <c r="D62" s="7" t="inlineStr">
        <is>
          <t xml:space="preserve">JOHANNA CASSANDRA CHAVEZ VALERIANO</t>
        </is>
      </c>
      <c r="E62" s="10">
        <f>IFERROR(_xlfn.XLOOKUP([@Responsable_Actual],TablaPersonal[Nombres_Apellidos],TablaPersonal[Telefono]),"POR REGISTRAR")</f>
      </c>
      <c r="F62" s="7" t="inlineStr">
        <is>
          <t xml:space="preserve">HASIRA DANIELA OSINAGA CHOQUE</t>
        </is>
      </c>
      <c r="G62" s="7" t="inlineStr">
        <is>
          <t xml:space="preserve">COCHABAMBA</t>
        </is>
      </c>
      <c r="H62" s="6">
        <f>IF(COUNTIFS(TablaMovimientos[Codigo_BEX],[@Codigo_Activo])=0,"",_xlfn.MAXIFS(TablaMovimientos[Fecha],TablaMovimientos[Codigo_BEX],[@Codigo_Activo]))</f>
      </c>
      <c r="I6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62" s="10">
        <f>COUNTIFS(TablaMovimientos[Codigo_BEX],[@Codigo_Activo],TablaMovimientos[Tipo_Movimiento],"PERDIDA")</f>
      </c>
      <c r="K62" s="10">
        <f>IF(NOT(ISNUMBER([@Fecha_Ultima_Asignacion])),"",TODAY()-[@Fecha_Ultima_Asignacion])</f>
      </c>
      <c r="L62" s="7" t="inlineStr">
        <is>
          <t xml:space="preserve"/>
        </is>
      </c>
    </row>
    <row r="63">
      <c r="A63" s="7" t="inlineStr">
        <is>
          <t xml:space="preserve">BEX-0525</t>
        </is>
      </c>
      <c r="B63" s="7" t="inlineStr">
        <is>
          <t xml:space="preserve">LEGACY (BEX-0xxx)</t>
        </is>
      </c>
      <c r="C63" s="10" t="inlineStr">
        <is>
          <t xml:space="preserve">ASIGNADO</t>
        </is>
      </c>
      <c r="D63" s="7" t="inlineStr">
        <is>
          <t xml:space="preserve">MARCELO RIVAS MARIN</t>
        </is>
      </c>
      <c r="E63" s="10">
        <f>IFERROR(_xlfn.XLOOKUP([@Responsable_Actual],TablaPersonal[Nombres_Apellidos],TablaPersonal[Telefono]),"POR REGISTRAR")</f>
      </c>
      <c r="F63" s="7" t="inlineStr">
        <is>
          <t xml:space="preserve">HASIRA DANIELA OSINAGA CHOQUE</t>
        </is>
      </c>
      <c r="G63" s="7" t="inlineStr">
        <is>
          <t xml:space="preserve">COCHABAMBA</t>
        </is>
      </c>
      <c r="H63" s="6">
        <f>IF(COUNTIFS(TablaMovimientos[Codigo_BEX],[@Codigo_Activo])=0,"",_xlfn.MAXIFS(TablaMovimientos[Fecha],TablaMovimientos[Codigo_BEX],[@Codigo_Activo]))</f>
      </c>
      <c r="I6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63" s="10">
        <f>COUNTIFS(TablaMovimientos[Codigo_BEX],[@Codigo_Activo],TablaMovimientos[Tipo_Movimiento],"PERDIDA")</f>
      </c>
      <c r="K63" s="10">
        <f>IF(NOT(ISNUMBER([@Fecha_Ultima_Asignacion])),"",TODAY()-[@Fecha_Ultima_Asignacion])</f>
      </c>
      <c r="L63" s="7" t="inlineStr">
        <is>
          <t xml:space="preserve"/>
        </is>
      </c>
    </row>
    <row r="64">
      <c r="A64" s="7" t="inlineStr">
        <is>
          <t xml:space="preserve">BEX-0527</t>
        </is>
      </c>
      <c r="B64" s="7" t="inlineStr">
        <is>
          <t xml:space="preserve">LEGACY (BEX-0xxx)</t>
        </is>
      </c>
      <c r="C64" s="10" t="inlineStr">
        <is>
          <t xml:space="preserve">ASIGNADO</t>
        </is>
      </c>
      <c r="D64" s="7" t="inlineStr">
        <is>
          <t xml:space="preserve">VERONICA NUNEZ PICHA</t>
        </is>
      </c>
      <c r="E64" s="10">
        <f>IFERROR(_xlfn.XLOOKUP([@Responsable_Actual],TablaPersonal[Nombres_Apellidos],TablaPersonal[Telefono]),"POR REGISTRAR")</f>
      </c>
      <c r="F64" s="7" t="inlineStr">
        <is>
          <t xml:space="preserve">JENNY CRISTINA ECHALAR MONTALVO</t>
        </is>
      </c>
      <c r="G64" s="7" t="inlineStr">
        <is>
          <t xml:space="preserve">SUCRE</t>
        </is>
      </c>
      <c r="H64" s="6">
        <f>IF(COUNTIFS(TablaMovimientos[Codigo_BEX],[@Codigo_Activo])=0,"",_xlfn.MAXIFS(TablaMovimientos[Fecha],TablaMovimientos[Codigo_BEX],[@Codigo_Activo]))</f>
      </c>
      <c r="I6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64" s="10">
        <f>COUNTIFS(TablaMovimientos[Codigo_BEX],[@Codigo_Activo],TablaMovimientos[Tipo_Movimiento],"PERDIDA")</f>
      </c>
      <c r="K64" s="10">
        <f>IF(NOT(ISNUMBER([@Fecha_Ultima_Asignacion])),"",TODAY()-[@Fecha_Ultima_Asignacion])</f>
      </c>
      <c r="L64" s="7" t="inlineStr">
        <is>
          <t xml:space="preserve">Normalizado de BEX-527</t>
        </is>
      </c>
    </row>
    <row r="65">
      <c r="A65" s="7" t="inlineStr">
        <is>
          <t xml:space="preserve">BEX-0528</t>
        </is>
      </c>
      <c r="B65" s="7" t="inlineStr">
        <is>
          <t xml:space="preserve">LEGACY (BEX-0xxx)</t>
        </is>
      </c>
      <c r="C65" s="10" t="inlineStr">
        <is>
          <t xml:space="preserve">ASIGNADO</t>
        </is>
      </c>
      <c r="D65" s="7" t="inlineStr">
        <is>
          <t xml:space="preserve">HEYDY DAYANA PUTARE MACHACA</t>
        </is>
      </c>
      <c r="E65" s="10">
        <f>IFERROR(_xlfn.XLOOKUP([@Responsable_Actual],TablaPersonal[Nombres_Apellidos],TablaPersonal[Telefono]),"POR REGISTRAR")</f>
      </c>
      <c r="F65" s="7" t="inlineStr">
        <is>
          <t xml:space="preserve">HASIRA DANIELA OSINAGA CHOQUE</t>
        </is>
      </c>
      <c r="G65" s="7" t="inlineStr">
        <is>
          <t xml:space="preserve">COCHABAMBA</t>
        </is>
      </c>
      <c r="H65" s="6">
        <f>IF(COUNTIFS(TablaMovimientos[Codigo_BEX],[@Codigo_Activo])=0,"",_xlfn.MAXIFS(TablaMovimientos[Fecha],TablaMovimientos[Codigo_BEX],[@Codigo_Activo]))</f>
      </c>
      <c r="I6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65" s="10">
        <f>COUNTIFS(TablaMovimientos[Codigo_BEX],[@Codigo_Activo],TablaMovimientos[Tipo_Movimiento],"PERDIDA")</f>
      </c>
      <c r="K65" s="10">
        <f>IF(NOT(ISNUMBER([@Fecha_Ultima_Asignacion])),"",TODAY()-[@Fecha_Ultima_Asignacion])</f>
      </c>
      <c r="L65" s="7" t="inlineStr">
        <is>
          <t xml:space="preserve"/>
        </is>
      </c>
    </row>
    <row r="66">
      <c r="A66" s="7" t="inlineStr">
        <is>
          <t xml:space="preserve">BEX-0532</t>
        </is>
      </c>
      <c r="B66" s="7" t="inlineStr">
        <is>
          <t xml:space="preserve">LEGACY (BEX-0xxx)</t>
        </is>
      </c>
      <c r="C66" s="10" t="inlineStr">
        <is>
          <t xml:space="preserve">ASIGNADO</t>
        </is>
      </c>
      <c r="D66" s="7" t="inlineStr">
        <is>
          <t xml:space="preserve">JOSE OLAF ROJAS CONDARCO</t>
        </is>
      </c>
      <c r="E66" s="10">
        <f>IFERROR(_xlfn.XLOOKUP([@Responsable_Actual],TablaPersonal[Nombres_Apellidos],TablaPersonal[Telefono]),"POR REGISTRAR")</f>
      </c>
      <c r="F66" s="7" t="inlineStr">
        <is>
          <t xml:space="preserve">HASIRA DANIELA OSINAGA CHOQUE</t>
        </is>
      </c>
      <c r="G66" s="7" t="inlineStr">
        <is>
          <t xml:space="preserve">COCHABAMBA</t>
        </is>
      </c>
      <c r="H66" s="6">
        <f>IF(COUNTIFS(TablaMovimientos[Codigo_BEX],[@Codigo_Activo])=0,"",_xlfn.MAXIFS(TablaMovimientos[Fecha],TablaMovimientos[Codigo_BEX],[@Codigo_Activo]))</f>
      </c>
      <c r="I6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66" s="10">
        <f>COUNTIFS(TablaMovimientos[Codigo_BEX],[@Codigo_Activo],TablaMovimientos[Tipo_Movimiento],"PERDIDA")</f>
      </c>
      <c r="K66" s="10">
        <f>IF(NOT(ISNUMBER([@Fecha_Ultima_Asignacion])),"",TODAY()-[@Fecha_Ultima_Asignacion])</f>
      </c>
      <c r="L66" s="7" t="inlineStr">
        <is>
          <t xml:space="preserve"/>
        </is>
      </c>
    </row>
    <row r="67">
      <c r="A67" s="7" t="inlineStr">
        <is>
          <t xml:space="preserve">BEX-0533</t>
        </is>
      </c>
      <c r="B67" s="7" t="inlineStr">
        <is>
          <t xml:space="preserve">LEGACY (BEX-0xxx)</t>
        </is>
      </c>
      <c r="C67" s="10" t="inlineStr">
        <is>
          <t xml:space="preserve">ASIGNADO</t>
        </is>
      </c>
      <c r="D67" s="7" t="inlineStr">
        <is>
          <t xml:space="preserve">LAURA ANDREA TRIBENO GUTIERREZ</t>
        </is>
      </c>
      <c r="E67" s="10">
        <f>IFERROR(_xlfn.XLOOKUP([@Responsable_Actual],TablaPersonal[Nombres_Apellidos],TablaPersonal[Telefono]),"POR REGISTRAR")</f>
      </c>
      <c r="F67" s="7" t="inlineStr">
        <is>
          <t xml:space="preserve">HASIRA DANIELA OSINAGA CHOQUE</t>
        </is>
      </c>
      <c r="G67" s="7" t="inlineStr">
        <is>
          <t xml:space="preserve">COCHABAMBA</t>
        </is>
      </c>
      <c r="H67" s="6">
        <f>IF(COUNTIFS(TablaMovimientos[Codigo_BEX],[@Codigo_Activo])=0,"",_xlfn.MAXIFS(TablaMovimientos[Fecha],TablaMovimientos[Codigo_BEX],[@Codigo_Activo]))</f>
      </c>
      <c r="I6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67" s="10">
        <f>COUNTIFS(TablaMovimientos[Codigo_BEX],[@Codigo_Activo],TablaMovimientos[Tipo_Movimiento],"PERDIDA")</f>
      </c>
      <c r="K67" s="10">
        <f>IF(NOT(ISNUMBER([@Fecha_Ultima_Asignacion])),"",TODAY()-[@Fecha_Ultima_Asignacion])</f>
      </c>
      <c r="L67" s="7" t="inlineStr">
        <is>
          <t xml:space="preserve"/>
        </is>
      </c>
    </row>
    <row r="68">
      <c r="A68" s="7" t="inlineStr">
        <is>
          <t xml:space="preserve">BEX-0172</t>
        </is>
      </c>
      <c r="B68" s="7" t="inlineStr">
        <is>
          <t xml:space="preserve">LEGACY (BEX-0xxx)</t>
        </is>
      </c>
      <c r="C68" s="10" t="inlineStr">
        <is>
          <t xml:space="preserve">DISPONIBLE</t>
        </is>
      </c>
      <c r="D68" s="7" t="inlineStr">
        <is>
          <t xml:space="preserve">EN OFICINA</t>
        </is>
      </c>
      <c r="E68" s="10">
        <f>IFERROR(_xlfn.XLOOKUP([@Responsable_Actual],TablaPersonal[Nombres_Apellidos],TablaPersonal[Telefono]),"POR REGISTRAR")</f>
      </c>
      <c r="F68" s="7" t="inlineStr">
        <is>
          <t xml:space="preserve"/>
        </is>
      </c>
      <c r="G68" s="7" t="inlineStr">
        <is>
          <t xml:space="preserve">SANTA CRUZ</t>
        </is>
      </c>
      <c r="H68" s="6">
        <f>IF(COUNTIFS(TablaMovimientos[Codigo_BEX],[@Codigo_Activo])=0,"",_xlfn.MAXIFS(TablaMovimientos[Fecha],TablaMovimientos[Codigo_BEX],[@Codigo_Activo]))</f>
      </c>
      <c r="I6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68" s="10">
        <f>COUNTIFS(TablaMovimientos[Codigo_BEX],[@Codigo_Activo],TablaMovimientos[Tipo_Movimiento],"PERDIDA")</f>
      </c>
      <c r="K68" s="10">
        <f>IF(NOT(ISNUMBER([@Fecha_Ultima_Asignacion])),"",TODAY()-[@Fecha_Ultima_Asignacion])</f>
      </c>
      <c r="L68" s="7" t="inlineStr">
        <is>
          <t xml:space="preserve"/>
        </is>
      </c>
    </row>
    <row r="69">
      <c r="A69" s="7" t="inlineStr">
        <is>
          <t xml:space="preserve">BEX-0174</t>
        </is>
      </c>
      <c r="B69" s="7" t="inlineStr">
        <is>
          <t xml:space="preserve">LEGACY (BEX-0xxx)</t>
        </is>
      </c>
      <c r="C69" s="10" t="inlineStr">
        <is>
          <t xml:space="preserve">DISPONIBLE</t>
        </is>
      </c>
      <c r="D69" s="7" t="inlineStr">
        <is>
          <t xml:space="preserve">EN OFICINA</t>
        </is>
      </c>
      <c r="E69" s="10">
        <f>IFERROR(_xlfn.XLOOKUP([@Responsable_Actual],TablaPersonal[Nombres_Apellidos],TablaPersonal[Telefono]),"POR REGISTRAR")</f>
      </c>
      <c r="F69" s="7" t="inlineStr">
        <is>
          <t xml:space="preserve"/>
        </is>
      </c>
      <c r="G69" s="7" t="inlineStr">
        <is>
          <t xml:space="preserve">SANTA CRUZ</t>
        </is>
      </c>
      <c r="H69" s="6">
        <f>IF(COUNTIFS(TablaMovimientos[Codigo_BEX],[@Codigo_Activo])=0,"",_xlfn.MAXIFS(TablaMovimientos[Fecha],TablaMovimientos[Codigo_BEX],[@Codigo_Activo]))</f>
      </c>
      <c r="I6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69" s="10">
        <f>COUNTIFS(TablaMovimientos[Codigo_BEX],[@Codigo_Activo],TablaMovimientos[Tipo_Movimiento],"PERDIDA")</f>
      </c>
      <c r="K69" s="10">
        <f>IF(NOT(ISNUMBER([@Fecha_Ultima_Asignacion])),"",TODAY()-[@Fecha_Ultima_Asignacion])</f>
      </c>
      <c r="L69" s="7" t="inlineStr">
        <is>
          <t xml:space="preserve"/>
        </is>
      </c>
    </row>
    <row r="70">
      <c r="A70" s="7" t="inlineStr">
        <is>
          <t xml:space="preserve">BEX-0193</t>
        </is>
      </c>
      <c r="B70" s="7" t="inlineStr">
        <is>
          <t xml:space="preserve">LEGACY (BEX-0xxx)</t>
        </is>
      </c>
      <c r="C70" s="10" t="inlineStr">
        <is>
          <t xml:space="preserve">DISPONIBLE</t>
        </is>
      </c>
      <c r="D70" s="7" t="inlineStr">
        <is>
          <t xml:space="preserve">EN OFICINA</t>
        </is>
      </c>
      <c r="E70" s="10">
        <f>IFERROR(_xlfn.XLOOKUP([@Responsable_Actual],TablaPersonal[Nombres_Apellidos],TablaPersonal[Telefono]),"POR REGISTRAR")</f>
      </c>
      <c r="F70" s="7" t="inlineStr">
        <is>
          <t xml:space="preserve"/>
        </is>
      </c>
      <c r="G70" s="7" t="inlineStr">
        <is>
          <t xml:space="preserve">SANTA CRUZ</t>
        </is>
      </c>
      <c r="H70" s="6">
        <f>IF(COUNTIFS(TablaMovimientos[Codigo_BEX],[@Codigo_Activo])=0,"",_xlfn.MAXIFS(TablaMovimientos[Fecha],TablaMovimientos[Codigo_BEX],[@Codigo_Activo]))</f>
      </c>
      <c r="I7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70" s="10">
        <f>COUNTIFS(TablaMovimientos[Codigo_BEX],[@Codigo_Activo],TablaMovimientos[Tipo_Movimiento],"PERDIDA")</f>
      </c>
      <c r="K70" s="10">
        <f>IF(NOT(ISNUMBER([@Fecha_Ultima_Asignacion])),"",TODAY()-[@Fecha_Ultima_Asignacion])</f>
      </c>
      <c r="L70" s="7" t="inlineStr">
        <is>
          <t xml:space="preserve"/>
        </is>
      </c>
    </row>
    <row r="71">
      <c r="A71" s="7" t="inlineStr">
        <is>
          <t xml:space="preserve">BEX-0194</t>
        </is>
      </c>
      <c r="B71" s="7" t="inlineStr">
        <is>
          <t xml:space="preserve">LEGACY (BEX-0xxx)</t>
        </is>
      </c>
      <c r="C71" s="10" t="inlineStr">
        <is>
          <t xml:space="preserve">ASIGNADO</t>
        </is>
      </c>
      <c r="D71" s="7" t="inlineStr">
        <is>
          <t xml:space="preserve">YESSENIA ALVAREZ VARGAS</t>
        </is>
      </c>
      <c r="E71" s="10">
        <f>IFERROR(_xlfn.XLOOKUP([@Responsable_Actual],TablaPersonal[Nombres_Apellidos],TablaPersonal[Telefono]),"POR REGISTRAR")</f>
      </c>
      <c r="F71" s="7" t="inlineStr">
        <is>
          <t xml:space="preserve"/>
        </is>
      </c>
      <c r="G71" s="7" t="inlineStr">
        <is>
          <t xml:space="preserve">SANTA CRUZ</t>
        </is>
      </c>
      <c r="H71" s="6">
        <f>IF(COUNTIFS(TablaMovimientos[Codigo_BEX],[@Codigo_Activo])=0,"",_xlfn.MAXIFS(TablaMovimientos[Fecha],TablaMovimientos[Codigo_BEX],[@Codigo_Activo]))</f>
      </c>
      <c r="I7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71" s="10">
        <f>COUNTIFS(TablaMovimientos[Codigo_BEX],[@Codigo_Activo],TablaMovimientos[Tipo_Movimiento],"PERDIDA")</f>
      </c>
      <c r="K71" s="10">
        <f>IF(NOT(ISNUMBER([@Fecha_Ultima_Asignacion])),"",TODAY()-[@Fecha_Ultima_Asignacion])</f>
      </c>
      <c r="L71" s="7" t="inlineStr">
        <is>
          <t xml:space="preserve">Segun INVENTARIO</t>
        </is>
      </c>
    </row>
    <row r="72">
      <c r="A72" s="7" t="inlineStr">
        <is>
          <t xml:space="preserve">BEX-0197</t>
        </is>
      </c>
      <c r="B72" s="7" t="inlineStr">
        <is>
          <t xml:space="preserve">LEGACY (BEX-0xxx)</t>
        </is>
      </c>
      <c r="C72" s="10" t="inlineStr">
        <is>
          <t xml:space="preserve">ASIGNADO</t>
        </is>
      </c>
      <c r="D72" s="7" t="inlineStr">
        <is>
          <t xml:space="preserve">GIULIANA GUATIA</t>
        </is>
      </c>
      <c r="E72" s="10">
        <f>IFERROR(_xlfn.XLOOKUP([@Responsable_Actual],TablaPersonal[Nombres_Apellidos],TablaPersonal[Telefono]),"POR REGISTRAR")</f>
      </c>
      <c r="F72" s="7" t="inlineStr">
        <is>
          <t xml:space="preserve"/>
        </is>
      </c>
      <c r="G72" s="7" t="inlineStr">
        <is>
          <t xml:space="preserve">SANTA CRUZ</t>
        </is>
      </c>
      <c r="H72" s="6">
        <f>IF(COUNTIFS(TablaMovimientos[Codigo_BEX],[@Codigo_Activo])=0,"",_xlfn.MAXIFS(TablaMovimientos[Fecha],TablaMovimientos[Codigo_BEX],[@Codigo_Activo]))</f>
      </c>
      <c r="I7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72" s="10">
        <f>COUNTIFS(TablaMovimientos[Codigo_BEX],[@Codigo_Activo],TablaMovimientos[Tipo_Movimiento],"PERDIDA")</f>
      </c>
      <c r="K72" s="10">
        <f>IF(NOT(ISNUMBER([@Fecha_Ultima_Asignacion])),"",TODAY()-[@Fecha_Ultima_Asignacion])</f>
      </c>
      <c r="L72" s="7" t="inlineStr">
        <is>
          <t xml:space="preserve">Segun INVENTARIO</t>
        </is>
      </c>
    </row>
    <row r="73">
      <c r="A73" s="7" t="inlineStr">
        <is>
          <t xml:space="preserve">BEX-0199</t>
        </is>
      </c>
      <c r="B73" s="7" t="inlineStr">
        <is>
          <t xml:space="preserve">LEGACY (BEX-0xxx)</t>
        </is>
      </c>
      <c r="C73" s="10" t="inlineStr">
        <is>
          <t xml:space="preserve">DISPONIBLE</t>
        </is>
      </c>
      <c r="D73" s="7" t="inlineStr">
        <is>
          <t xml:space="preserve">EN OFICINA</t>
        </is>
      </c>
      <c r="E73" s="10">
        <f>IFERROR(_xlfn.XLOOKUP([@Responsable_Actual],TablaPersonal[Nombres_Apellidos],TablaPersonal[Telefono]),"POR REGISTRAR")</f>
      </c>
      <c r="F73" s="7" t="inlineStr">
        <is>
          <t xml:space="preserve"/>
        </is>
      </c>
      <c r="G73" s="7" t="inlineStr">
        <is>
          <t xml:space="preserve">SANTA CRUZ</t>
        </is>
      </c>
      <c r="H73" s="6">
        <f>IF(COUNTIFS(TablaMovimientos[Codigo_BEX],[@Codigo_Activo])=0,"",_xlfn.MAXIFS(TablaMovimientos[Fecha],TablaMovimientos[Codigo_BEX],[@Codigo_Activo]))</f>
      </c>
      <c r="I7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73" s="10">
        <f>COUNTIFS(TablaMovimientos[Codigo_BEX],[@Codigo_Activo],TablaMovimientos[Tipo_Movimiento],"PERDIDA")</f>
      </c>
      <c r="K73" s="10">
        <f>IF(NOT(ISNUMBER([@Fecha_Ultima_Asignacion])),"",TODAY()-[@Fecha_Ultima_Asignacion])</f>
      </c>
      <c r="L73" s="7" t="inlineStr">
        <is>
          <t xml:space="preserve"/>
        </is>
      </c>
    </row>
    <row r="74">
      <c r="A74" s="7" t="inlineStr">
        <is>
          <t xml:space="preserve">BEX-0200</t>
        </is>
      </c>
      <c r="B74" s="7" t="inlineStr">
        <is>
          <t xml:space="preserve">LEGACY (BEX-0xxx)</t>
        </is>
      </c>
      <c r="C74" s="10" t="inlineStr">
        <is>
          <t xml:space="preserve">DISPONIBLE</t>
        </is>
      </c>
      <c r="D74" s="7" t="inlineStr">
        <is>
          <t xml:space="preserve">EN OFICINA</t>
        </is>
      </c>
      <c r="E74" s="10">
        <f>IFERROR(_xlfn.XLOOKUP([@Responsable_Actual],TablaPersonal[Nombres_Apellidos],TablaPersonal[Telefono]),"POR REGISTRAR")</f>
      </c>
      <c r="F74" s="7" t="inlineStr">
        <is>
          <t xml:space="preserve"/>
        </is>
      </c>
      <c r="G74" s="7" t="inlineStr">
        <is>
          <t xml:space="preserve">SANTA CRUZ</t>
        </is>
      </c>
      <c r="H74" s="6">
        <f>IF(COUNTIFS(TablaMovimientos[Codigo_BEX],[@Codigo_Activo])=0,"",_xlfn.MAXIFS(TablaMovimientos[Fecha],TablaMovimientos[Codigo_BEX],[@Codigo_Activo]))</f>
      </c>
      <c r="I7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74" s="10">
        <f>COUNTIFS(TablaMovimientos[Codigo_BEX],[@Codigo_Activo],TablaMovimientos[Tipo_Movimiento],"PERDIDA")</f>
      </c>
      <c r="K74" s="10">
        <f>IF(NOT(ISNUMBER([@Fecha_Ultima_Asignacion])),"",TODAY()-[@Fecha_Ultima_Asignacion])</f>
      </c>
      <c r="L74" s="7" t="inlineStr">
        <is>
          <t xml:space="preserve"/>
        </is>
      </c>
    </row>
    <row r="75">
      <c r="A75" s="7" t="inlineStr">
        <is>
          <t xml:space="preserve">BEX-0509</t>
        </is>
      </c>
      <c r="B75" s="7" t="inlineStr">
        <is>
          <t xml:space="preserve">LEGACY (BEX-0xxx)</t>
        </is>
      </c>
      <c r="C75" s="10" t="inlineStr">
        <is>
          <t xml:space="preserve">DISPONIBLE</t>
        </is>
      </c>
      <c r="D75" s="7" t="inlineStr">
        <is>
          <t xml:space="preserve">EN OFICINA</t>
        </is>
      </c>
      <c r="E75" s="10">
        <f>IFERROR(_xlfn.XLOOKUP([@Responsable_Actual],TablaPersonal[Nombres_Apellidos],TablaPersonal[Telefono]),"POR REGISTRAR")</f>
      </c>
      <c r="F75" s="7" t="inlineStr">
        <is>
          <t xml:space="preserve"/>
        </is>
      </c>
      <c r="G75" s="7" t="inlineStr">
        <is>
          <t xml:space="preserve">SANTA CRUZ</t>
        </is>
      </c>
      <c r="H75" s="6">
        <f>IF(COUNTIFS(TablaMovimientos[Codigo_BEX],[@Codigo_Activo])=0,"",_xlfn.MAXIFS(TablaMovimientos[Fecha],TablaMovimientos[Codigo_BEX],[@Codigo_Activo]))</f>
      </c>
      <c r="I7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75" s="10">
        <f>COUNTIFS(TablaMovimientos[Codigo_BEX],[@Codigo_Activo],TablaMovimientos[Tipo_Movimiento],"PERDIDA")</f>
      </c>
      <c r="K75" s="10">
        <f>IF(NOT(ISNUMBER([@Fecha_Ultima_Asignacion])),"",TODAY()-[@Fecha_Ultima_Asignacion])</f>
      </c>
      <c r="L75" s="7" t="inlineStr">
        <is>
          <t xml:space="preserve"/>
        </is>
      </c>
    </row>
    <row r="76">
      <c r="A76" s="7" t="inlineStr">
        <is>
          <t xml:space="preserve">BEX-0529</t>
        </is>
      </c>
      <c r="B76" s="7" t="inlineStr">
        <is>
          <t xml:space="preserve">LEGACY (BEX-0xxx)</t>
        </is>
      </c>
      <c r="C76" s="10" t="inlineStr">
        <is>
          <t xml:space="preserve">DISPONIBLE</t>
        </is>
      </c>
      <c r="D76" s="7" t="inlineStr">
        <is>
          <t xml:space="preserve">EN OFICINA</t>
        </is>
      </c>
      <c r="E76" s="10">
        <f>IFERROR(_xlfn.XLOOKUP([@Responsable_Actual],TablaPersonal[Nombres_Apellidos],TablaPersonal[Telefono]),"POR REGISTRAR")</f>
      </c>
      <c r="F76" s="7" t="inlineStr">
        <is>
          <t xml:space="preserve"/>
        </is>
      </c>
      <c r="G76" s="7" t="inlineStr">
        <is>
          <t xml:space="preserve">SANTA CRUZ</t>
        </is>
      </c>
      <c r="H76" s="6">
        <f>IF(COUNTIFS(TablaMovimientos[Codigo_BEX],[@Codigo_Activo])=0,"",_xlfn.MAXIFS(TablaMovimientos[Fecha],TablaMovimientos[Codigo_BEX],[@Codigo_Activo]))</f>
      </c>
      <c r="I7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76" s="10">
        <f>COUNTIFS(TablaMovimientos[Codigo_BEX],[@Codigo_Activo],TablaMovimientos[Tipo_Movimiento],"PERDIDA")</f>
      </c>
      <c r="K76" s="10">
        <f>IF(NOT(ISNUMBER([@Fecha_Ultima_Asignacion])),"",TODAY()-[@Fecha_Ultima_Asignacion])</f>
      </c>
      <c r="L76" s="7" t="inlineStr">
        <is>
          <t xml:space="preserve"/>
        </is>
      </c>
    </row>
    <row r="77">
      <c r="A77" s="7" t="inlineStr">
        <is>
          <t xml:space="preserve">BEX-0535</t>
        </is>
      </c>
      <c r="B77" s="7" t="inlineStr">
        <is>
          <t xml:space="preserve">LEGACY (BEX-0xxx)</t>
        </is>
      </c>
      <c r="C77" s="10" t="inlineStr">
        <is>
          <t xml:space="preserve">DISPONIBLE</t>
        </is>
      </c>
      <c r="D77" s="7" t="inlineStr">
        <is>
          <t xml:space="preserve">EN OFICINA</t>
        </is>
      </c>
      <c r="E77" s="10">
        <f>IFERROR(_xlfn.XLOOKUP([@Responsable_Actual],TablaPersonal[Nombres_Apellidos],TablaPersonal[Telefono]),"POR REGISTRAR")</f>
      </c>
      <c r="F77" s="7" t="inlineStr">
        <is>
          <t xml:space="preserve"/>
        </is>
      </c>
      <c r="G77" s="7" t="inlineStr">
        <is>
          <t xml:space="preserve">SANTA CRUZ</t>
        </is>
      </c>
      <c r="H77" s="6">
        <f>IF(COUNTIFS(TablaMovimientos[Codigo_BEX],[@Codigo_Activo])=0,"",_xlfn.MAXIFS(TablaMovimientos[Fecha],TablaMovimientos[Codigo_BEX],[@Codigo_Activo]))</f>
      </c>
      <c r="I7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77" s="10">
        <f>COUNTIFS(TablaMovimientos[Codigo_BEX],[@Codigo_Activo],TablaMovimientos[Tipo_Movimiento],"PERDIDA")</f>
      </c>
      <c r="K77" s="10">
        <f>IF(NOT(ISNUMBER([@Fecha_Ultima_Asignacion])),"",TODAY()-[@Fecha_Ultima_Asignacion])</f>
      </c>
      <c r="L77" s="7" t="inlineStr">
        <is>
          <t xml:space="preserve"/>
        </is>
      </c>
    </row>
    <row r="78">
      <c r="A78" s="7" t="inlineStr">
        <is>
          <t xml:space="preserve">BEX-2000</t>
        </is>
      </c>
      <c r="B78" s="7" t="inlineStr">
        <is>
          <t xml:space="preserve">NUEVA (BEX-2xxx)</t>
        </is>
      </c>
      <c r="C78" s="10" t="inlineStr">
        <is>
          <t xml:space="preserve">ASIGNADO</t>
        </is>
      </c>
      <c r="D78" s="7" t="inlineStr">
        <is>
          <t xml:space="preserve">JORGE SAAVEDRA</t>
        </is>
      </c>
      <c r="E78" s="10">
        <f>IFERROR(_xlfn.XLOOKUP([@Responsable_Actual],TablaPersonal[Nombres_Apellidos],TablaPersonal[Telefono]),"POR REGISTRAR")</f>
      </c>
      <c r="F78" s="7" t="inlineStr">
        <is>
          <t xml:space="preserve">JORGE SAAVEDRA</t>
        </is>
      </c>
      <c r="G78" s="7" t="inlineStr">
        <is>
          <t xml:space="preserve">SANTA CRUZ</t>
        </is>
      </c>
      <c r="H78" s="6">
        <f>IF(COUNTIFS(TablaMovimientos[Codigo_BEX],[@Codigo_Activo])=0,"",_xlfn.MAXIFS(TablaMovimientos[Fecha],TablaMovimientos[Codigo_BEX],[@Codigo_Activo]))</f>
      </c>
      <c r="I7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78" s="10">
        <f>COUNTIFS(TablaMovimientos[Codigo_BEX],[@Codigo_Activo],TablaMovimientos[Tipo_Movimiento],"PERDIDA")</f>
      </c>
      <c r="K78" s="10">
        <f>IF(NOT(ISNUMBER([@Fecha_Ultima_Asignacion])),"",TODAY()-[@Fecha_Ultima_Asignacion])</f>
      </c>
      <c r="L78" s="7" t="inlineStr">
        <is>
          <t xml:space="preserve"/>
        </is>
      </c>
    </row>
    <row r="79">
      <c r="A79" s="7" t="inlineStr">
        <is>
          <t xml:space="preserve">BEX-2001</t>
        </is>
      </c>
      <c r="B79" s="7" t="inlineStr">
        <is>
          <t xml:space="preserve">NUEVA (BEX-2xxx)</t>
        </is>
      </c>
      <c r="C79" s="10" t="inlineStr">
        <is>
          <t xml:space="preserve">POR ASIGNAR</t>
        </is>
      </c>
      <c r="D79" s="7" t="inlineStr">
        <is>
          <t xml:space="preserve">DIANA HERRERA DORADO</t>
        </is>
      </c>
      <c r="E79" s="10">
        <f>IFERROR(_xlfn.XLOOKUP([@Responsable_Actual],TablaPersonal[Nombres_Apellidos],TablaPersonal[Telefono]),"POR REGISTRAR")</f>
      </c>
      <c r="F79" s="7" t="inlineStr">
        <is>
          <t xml:space="preserve">DELIA JORDAN FACUSSE</t>
        </is>
      </c>
      <c r="G79" s="7" t="inlineStr">
        <is>
          <t xml:space="preserve">SANTA CRUZ</t>
        </is>
      </c>
      <c r="H79" s="6">
        <f>IF(COUNTIFS(TablaMovimientos[Codigo_BEX],[@Codigo_Activo])=0,"",_xlfn.MAXIFS(TablaMovimientos[Fecha],TablaMovimientos[Codigo_BEX],[@Codigo_Activo]))</f>
      </c>
      <c r="I7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79" s="10">
        <f>COUNTIFS(TablaMovimientos[Codigo_BEX],[@Codigo_Activo],TablaMovimientos[Tipo_Movimiento],"PERDIDA")</f>
      </c>
      <c r="K79" s="10">
        <f>IF(NOT(ISNUMBER([@Fecha_Ultima_Asignacion])),"",TODAY()-[@Fecha_Ultima_Asignacion])</f>
      </c>
      <c r="L79" s="7" t="inlineStr">
        <is>
          <t xml:space="preserve">Sin asignacion fisica</t>
        </is>
      </c>
    </row>
    <row r="80">
      <c r="A80" s="7" t="inlineStr">
        <is>
          <t xml:space="preserve">BEX-2002</t>
        </is>
      </c>
      <c r="B80" s="7" t="inlineStr">
        <is>
          <t xml:space="preserve">NUEVA (BEX-2xxx)</t>
        </is>
      </c>
      <c r="C80" s="10" t="inlineStr">
        <is>
          <t xml:space="preserve">POR ASIGNAR</t>
        </is>
      </c>
      <c r="D80" s="7" t="inlineStr">
        <is>
          <t xml:space="preserve">EIBRAJAM ANEZ ROJAS</t>
        </is>
      </c>
      <c r="E80" s="10">
        <f>IFERROR(_xlfn.XLOOKUP([@Responsable_Actual],TablaPersonal[Nombres_Apellidos],TablaPersonal[Telefono]),"POR REGISTRAR")</f>
      </c>
      <c r="F80" s="7" t="inlineStr">
        <is>
          <t xml:space="preserve">DELIA JORDAN FACUSSE</t>
        </is>
      </c>
      <c r="G80" s="7" t="inlineStr">
        <is>
          <t xml:space="preserve">SANTA CRUZ</t>
        </is>
      </c>
      <c r="H80" s="6">
        <f>IF(COUNTIFS(TablaMovimientos[Codigo_BEX],[@Codigo_Activo])=0,"",_xlfn.MAXIFS(TablaMovimientos[Fecha],TablaMovimientos[Codigo_BEX],[@Codigo_Activo]))</f>
      </c>
      <c r="I8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80" s="10">
        <f>COUNTIFS(TablaMovimientos[Codigo_BEX],[@Codigo_Activo],TablaMovimientos[Tipo_Movimiento],"PERDIDA")</f>
      </c>
      <c r="K80" s="10">
        <f>IF(NOT(ISNUMBER([@Fecha_Ultima_Asignacion])),"",TODAY()-[@Fecha_Ultima_Asignacion])</f>
      </c>
      <c r="L80" s="7" t="inlineStr">
        <is>
          <t xml:space="preserve">Sin asignacion fisica</t>
        </is>
      </c>
    </row>
    <row r="81">
      <c r="A81" s="7" t="inlineStr">
        <is>
          <t xml:space="preserve">BEX-2003</t>
        </is>
      </c>
      <c r="B81" s="7" t="inlineStr">
        <is>
          <t xml:space="preserve">NUEVA (BEX-2xxx)</t>
        </is>
      </c>
      <c r="C81" s="10" t="inlineStr">
        <is>
          <t xml:space="preserve">ASIGNADO</t>
        </is>
      </c>
      <c r="D81" s="7" t="inlineStr">
        <is>
          <t xml:space="preserve">TOMAS JERSON MERCADO YPORRE</t>
        </is>
      </c>
      <c r="E81" s="10">
        <f>IFERROR(_xlfn.XLOOKUP([@Responsable_Actual],TablaPersonal[Nombres_Apellidos],TablaPersonal[Telefono]),"POR REGISTRAR")</f>
      </c>
      <c r="F81" s="7" t="inlineStr">
        <is>
          <t xml:space="preserve">DELIA JORDAN FACUSSE</t>
        </is>
      </c>
      <c r="G81" s="7" t="inlineStr">
        <is>
          <t xml:space="preserve">SANTA CRUZ</t>
        </is>
      </c>
      <c r="H81" s="6">
        <f>IF(COUNTIFS(TablaMovimientos[Codigo_BEX],[@Codigo_Activo])=0,"",_xlfn.MAXIFS(TablaMovimientos[Fecha],TablaMovimientos[Codigo_BEX],[@Codigo_Activo]))</f>
      </c>
      <c r="I8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81" s="10">
        <f>COUNTIFS(TablaMovimientos[Codigo_BEX],[@Codigo_Activo],TablaMovimientos[Tipo_Movimiento],"PERDIDA")</f>
      </c>
      <c r="K81" s="10">
        <f>IF(NOT(ISNUMBER([@Fecha_Ultima_Asignacion])),"",TODAY()-[@Fecha_Ultima_Asignacion])</f>
      </c>
      <c r="L81" s="7" t="inlineStr">
        <is>
          <t xml:space="preserve"/>
        </is>
      </c>
    </row>
    <row r="82">
      <c r="A82" s="7" t="inlineStr">
        <is>
          <t xml:space="preserve">BEX-2004</t>
        </is>
      </c>
      <c r="B82" s="7" t="inlineStr">
        <is>
          <t xml:space="preserve">NUEVA (BEX-2xxx)</t>
        </is>
      </c>
      <c r="C82" s="10" t="inlineStr">
        <is>
          <t xml:space="preserve">POR ASIGNAR</t>
        </is>
      </c>
      <c r="D82" s="7" t="inlineStr">
        <is>
          <t xml:space="preserve">RODRIGO VACA JUSTINIANO</t>
        </is>
      </c>
      <c r="E82" s="10">
        <f>IFERROR(_xlfn.XLOOKUP([@Responsable_Actual],TablaPersonal[Nombres_Apellidos],TablaPersonal[Telefono]),"POR REGISTRAR")</f>
      </c>
      <c r="F82" s="7" t="inlineStr">
        <is>
          <t xml:space="preserve">DELIA JORDAN FACUSSE</t>
        </is>
      </c>
      <c r="G82" s="7" t="inlineStr">
        <is>
          <t xml:space="preserve">SANTA CRUZ</t>
        </is>
      </c>
      <c r="H82" s="6">
        <f>IF(COUNTIFS(TablaMovimientos[Codigo_BEX],[@Codigo_Activo])=0,"",_xlfn.MAXIFS(TablaMovimientos[Fecha],TablaMovimientos[Codigo_BEX],[@Codigo_Activo]))</f>
      </c>
      <c r="I8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82" s="10">
        <f>COUNTIFS(TablaMovimientos[Codigo_BEX],[@Codigo_Activo],TablaMovimientos[Tipo_Movimiento],"PERDIDA")</f>
      </c>
      <c r="K82" s="10">
        <f>IF(NOT(ISNUMBER([@Fecha_Ultima_Asignacion])),"",TODAY()-[@Fecha_Ultima_Asignacion])</f>
      </c>
      <c r="L82" s="7" t="inlineStr">
        <is>
          <t xml:space="preserve">Sin asignacion fisica</t>
        </is>
      </c>
    </row>
    <row r="83">
      <c r="A83" s="7" t="inlineStr">
        <is>
          <t xml:space="preserve">BEX-2005</t>
        </is>
      </c>
      <c r="B83" s="7" t="inlineStr">
        <is>
          <t xml:space="preserve">NUEVA (BEX-2xxx)</t>
        </is>
      </c>
      <c r="C83" s="10" t="inlineStr">
        <is>
          <t xml:space="preserve">POR ASIGNAR</t>
        </is>
      </c>
      <c r="D83" s="7" t="inlineStr">
        <is>
          <t xml:space="preserve">GABRIELA QUINONES YPORRE</t>
        </is>
      </c>
      <c r="E83" s="10">
        <f>IFERROR(_xlfn.XLOOKUP([@Responsable_Actual],TablaPersonal[Nombres_Apellidos],TablaPersonal[Telefono]),"POR REGISTRAR")</f>
      </c>
      <c r="F83" s="7" t="inlineStr">
        <is>
          <t xml:space="preserve">DELIA JORDAN FACUSSE</t>
        </is>
      </c>
      <c r="G83" s="7" t="inlineStr">
        <is>
          <t xml:space="preserve">SANTA CRUZ</t>
        </is>
      </c>
      <c r="H83" s="6">
        <f>IF(COUNTIFS(TablaMovimientos[Codigo_BEX],[@Codigo_Activo])=0,"",_xlfn.MAXIFS(TablaMovimientos[Fecha],TablaMovimientos[Codigo_BEX],[@Codigo_Activo]))</f>
      </c>
      <c r="I8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83" s="10">
        <f>COUNTIFS(TablaMovimientos[Codigo_BEX],[@Codigo_Activo],TablaMovimientos[Tipo_Movimiento],"PERDIDA")</f>
      </c>
      <c r="K83" s="10">
        <f>IF(NOT(ISNUMBER([@Fecha_Ultima_Asignacion])),"",TODAY()-[@Fecha_Ultima_Asignacion])</f>
      </c>
      <c r="L83" s="7" t="inlineStr">
        <is>
          <t xml:space="preserve">Sin asignacion fisica</t>
        </is>
      </c>
    </row>
    <row r="84">
      <c r="A84" s="7" t="inlineStr">
        <is>
          <t xml:space="preserve">BEX-2006</t>
        </is>
      </c>
      <c r="B84" s="7" t="inlineStr">
        <is>
          <t xml:space="preserve">NUEVA (BEX-2xxx)</t>
        </is>
      </c>
      <c r="C84" s="10" t="inlineStr">
        <is>
          <t xml:space="preserve">POR ASIGNAR</t>
        </is>
      </c>
      <c r="D84" s="7" t="inlineStr">
        <is>
          <t xml:space="preserve">DIEGO GUTIERREZ PEDRAZA</t>
        </is>
      </c>
      <c r="E84" s="10">
        <f>IFERROR(_xlfn.XLOOKUP([@Responsable_Actual],TablaPersonal[Nombres_Apellidos],TablaPersonal[Telefono]),"POR REGISTRAR")</f>
      </c>
      <c r="F84" s="7" t="inlineStr">
        <is>
          <t xml:space="preserve">JOSE GUTIERREZ PEDRAZA</t>
        </is>
      </c>
      <c r="G84" s="7" t="inlineStr">
        <is>
          <t xml:space="preserve">SANTA CRUZ</t>
        </is>
      </c>
      <c r="H84" s="6">
        <f>IF(COUNTIFS(TablaMovimientos[Codigo_BEX],[@Codigo_Activo])=0,"",_xlfn.MAXIFS(TablaMovimientos[Fecha],TablaMovimientos[Codigo_BEX],[@Codigo_Activo]))</f>
      </c>
      <c r="I8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84" s="10">
        <f>COUNTIFS(TablaMovimientos[Codigo_BEX],[@Codigo_Activo],TablaMovimientos[Tipo_Movimiento],"PERDIDA")</f>
      </c>
      <c r="K84" s="10">
        <f>IF(NOT(ISNUMBER([@Fecha_Ultima_Asignacion])),"",TODAY()-[@Fecha_Ultima_Asignacion])</f>
      </c>
      <c r="L84" s="7" t="inlineStr">
        <is>
          <t xml:space="preserve">Sin asignacion fisica</t>
        </is>
      </c>
    </row>
    <row r="85">
      <c r="A85" s="7" t="inlineStr">
        <is>
          <t xml:space="preserve">BEX-2007</t>
        </is>
      </c>
      <c r="B85" s="7" t="inlineStr">
        <is>
          <t xml:space="preserve">NUEVA (BEX-2xxx)</t>
        </is>
      </c>
      <c r="C85" s="10" t="inlineStr">
        <is>
          <t xml:space="preserve">POR ASIGNAR</t>
        </is>
      </c>
      <c r="D85" s="7" t="inlineStr">
        <is>
          <t xml:space="preserve">JOSE GUTIERREZ PEDRAZA</t>
        </is>
      </c>
      <c r="E85" s="10">
        <f>IFERROR(_xlfn.XLOOKUP([@Responsable_Actual],TablaPersonal[Nombres_Apellidos],TablaPersonal[Telefono]),"POR REGISTRAR")</f>
      </c>
      <c r="F85" s="7" t="inlineStr">
        <is>
          <t xml:space="preserve">JOSE GUTIERREZ PEDRAZA</t>
        </is>
      </c>
      <c r="G85" s="7" t="inlineStr">
        <is>
          <t xml:space="preserve">SANTA CRUZ</t>
        </is>
      </c>
      <c r="H85" s="6">
        <f>IF(COUNTIFS(TablaMovimientos[Codigo_BEX],[@Codigo_Activo])=0,"",_xlfn.MAXIFS(TablaMovimientos[Fecha],TablaMovimientos[Codigo_BEX],[@Codigo_Activo]))</f>
      </c>
      <c r="I8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85" s="10">
        <f>COUNTIFS(TablaMovimientos[Codigo_BEX],[@Codigo_Activo],TablaMovimientos[Tipo_Movimiento],"PERDIDA")</f>
      </c>
      <c r="K85" s="10">
        <f>IF(NOT(ISNUMBER([@Fecha_Ultima_Asignacion])),"",TODAY()-[@Fecha_Ultima_Asignacion])</f>
      </c>
      <c r="L85" s="7" t="inlineStr">
        <is>
          <t xml:space="preserve">Sin asignacion fisica</t>
        </is>
      </c>
    </row>
    <row r="86">
      <c r="A86" s="7" t="inlineStr">
        <is>
          <t xml:space="preserve">BEX-2008</t>
        </is>
      </c>
      <c r="B86" s="7" t="inlineStr">
        <is>
          <t xml:space="preserve">NUEVA (BEX-2xxx)</t>
        </is>
      </c>
      <c r="C86" s="10" t="inlineStr">
        <is>
          <t xml:space="preserve">POR ASIGNAR</t>
        </is>
      </c>
      <c r="D86" s="7" t="inlineStr">
        <is>
          <t xml:space="preserve">VICTOR HUGO LINO BALDIVIESO</t>
        </is>
      </c>
      <c r="E86" s="10">
        <f>IFERROR(_xlfn.XLOOKUP([@Responsable_Actual],TablaPersonal[Nombres_Apellidos],TablaPersonal[Telefono]),"POR REGISTRAR")</f>
      </c>
      <c r="F86" s="7" t="inlineStr">
        <is>
          <t xml:space="preserve">JOSE GUTIERREZ PEDRAZA</t>
        </is>
      </c>
      <c r="G86" s="7" t="inlineStr">
        <is>
          <t xml:space="preserve">SANTA CRUZ</t>
        </is>
      </c>
      <c r="H86" s="6">
        <f>IF(COUNTIFS(TablaMovimientos[Codigo_BEX],[@Codigo_Activo])=0,"",_xlfn.MAXIFS(TablaMovimientos[Fecha],TablaMovimientos[Codigo_BEX],[@Codigo_Activo]))</f>
      </c>
      <c r="I8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86" s="10">
        <f>COUNTIFS(TablaMovimientos[Codigo_BEX],[@Codigo_Activo],TablaMovimientos[Tipo_Movimiento],"PERDIDA")</f>
      </c>
      <c r="K86" s="10">
        <f>IF(NOT(ISNUMBER([@Fecha_Ultima_Asignacion])),"",TODAY()-[@Fecha_Ultima_Asignacion])</f>
      </c>
      <c r="L86" s="7" t="inlineStr">
        <is>
          <t xml:space="preserve">Sin asignacion fisica</t>
        </is>
      </c>
    </row>
    <row r="87">
      <c r="A87" s="7" t="inlineStr">
        <is>
          <t xml:space="preserve">BEX-2009</t>
        </is>
      </c>
      <c r="B87" s="7" t="inlineStr">
        <is>
          <t xml:space="preserve">NUEVA (BEX-2xxx)</t>
        </is>
      </c>
      <c r="C87" s="10" t="inlineStr">
        <is>
          <t xml:space="preserve">POR ASIGNAR</t>
        </is>
      </c>
      <c r="D87" s="7" t="inlineStr">
        <is>
          <t xml:space="preserve">SELMA (NUEVA)</t>
        </is>
      </c>
      <c r="E87" s="10">
        <f>IFERROR(_xlfn.XLOOKUP([@Responsable_Actual],TablaPersonal[Nombres_Apellidos],TablaPersonal[Telefono]),"POR REGISTRAR")</f>
      </c>
      <c r="F87" s="7" t="inlineStr">
        <is>
          <t xml:space="preserve">JOSE GUTIERREZ PEDRAZA</t>
        </is>
      </c>
      <c r="G87" s="7" t="inlineStr">
        <is>
          <t xml:space="preserve">SANTA CRUZ</t>
        </is>
      </c>
      <c r="H87" s="6">
        <f>IF(COUNTIFS(TablaMovimientos[Codigo_BEX],[@Codigo_Activo])=0,"",_xlfn.MAXIFS(TablaMovimientos[Fecha],TablaMovimientos[Codigo_BEX],[@Codigo_Activo]))</f>
      </c>
      <c r="I8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87" s="10">
        <f>COUNTIFS(TablaMovimientos[Codigo_BEX],[@Codigo_Activo],TablaMovimientos[Tipo_Movimiento],"PERDIDA")</f>
      </c>
      <c r="K87" s="10">
        <f>IF(NOT(ISNUMBER([@Fecha_Ultima_Asignacion])),"",TODAY()-[@Fecha_Ultima_Asignacion])</f>
      </c>
      <c r="L87" s="7" t="inlineStr">
        <is>
          <t xml:space="preserve">Sin asignacion fisica</t>
        </is>
      </c>
    </row>
    <row r="88">
      <c r="A88" s="7" t="inlineStr">
        <is>
          <t xml:space="preserve">BEX-2010</t>
        </is>
      </c>
      <c r="B88" s="7" t="inlineStr">
        <is>
          <t xml:space="preserve">NUEVA (BEX-2xxx)</t>
        </is>
      </c>
      <c r="C88" s="10" t="inlineStr">
        <is>
          <t xml:space="preserve">POR ASIGNAR</t>
        </is>
      </c>
      <c r="D88" s="7" t="inlineStr">
        <is>
          <t xml:space="preserve">ANA PAOLA REQUE PALMA</t>
        </is>
      </c>
      <c r="E88" s="10">
        <f>IFERROR(_xlfn.XLOOKUP([@Responsable_Actual],TablaPersonal[Nombres_Apellidos],TablaPersonal[Telefono]),"POR REGISTRAR")</f>
      </c>
      <c r="F88" s="7" t="inlineStr">
        <is>
          <t xml:space="preserve">MARIA FERNANDA DAZA PALMA</t>
        </is>
      </c>
      <c r="G88" s="7" t="inlineStr">
        <is>
          <t xml:space="preserve">TARIJA</t>
        </is>
      </c>
      <c r="H88" s="6">
        <f>IF(COUNTIFS(TablaMovimientos[Codigo_BEX],[@Codigo_Activo])=0,"",_xlfn.MAXIFS(TablaMovimientos[Fecha],TablaMovimientos[Codigo_BEX],[@Codigo_Activo]))</f>
      </c>
      <c r="I8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88" s="10">
        <f>COUNTIFS(TablaMovimientos[Codigo_BEX],[@Codigo_Activo],TablaMovimientos[Tipo_Movimiento],"PERDIDA")</f>
      </c>
      <c r="K88" s="10">
        <f>IF(NOT(ISNUMBER([@Fecha_Ultima_Asignacion])),"",TODAY()-[@Fecha_Ultima_Asignacion])</f>
      </c>
      <c r="L88" s="7" t="inlineStr">
        <is>
          <t xml:space="preserve">Credenciales enviados</t>
        </is>
      </c>
    </row>
    <row r="89">
      <c r="A89" s="7" t="inlineStr">
        <is>
          <t xml:space="preserve">BEX-2011</t>
        </is>
      </c>
      <c r="B89" s="7" t="inlineStr">
        <is>
          <t xml:space="preserve">NUEVA (BEX-2xxx)</t>
        </is>
      </c>
      <c r="C89" s="10" t="inlineStr">
        <is>
          <t xml:space="preserve">POR ASIGNAR</t>
        </is>
      </c>
      <c r="D89" s="7" t="inlineStr">
        <is>
          <t xml:space="preserve">ANA PATRICIA ALFARO MENDEZ</t>
        </is>
      </c>
      <c r="E89" s="10">
        <f>IFERROR(_xlfn.XLOOKUP([@Responsable_Actual],TablaPersonal[Nombres_Apellidos],TablaPersonal[Telefono]),"POR REGISTRAR")</f>
      </c>
      <c r="F89" s="7" t="inlineStr">
        <is>
          <t xml:space="preserve">MARIA FERNANDA DAZA PALMA</t>
        </is>
      </c>
      <c r="G89" s="7" t="inlineStr">
        <is>
          <t xml:space="preserve">TARIJA</t>
        </is>
      </c>
      <c r="H89" s="6">
        <f>IF(COUNTIFS(TablaMovimientos[Codigo_BEX],[@Codigo_Activo])=0,"",_xlfn.MAXIFS(TablaMovimientos[Fecha],TablaMovimientos[Codigo_BEX],[@Codigo_Activo]))</f>
      </c>
      <c r="I8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89" s="10">
        <f>COUNTIFS(TablaMovimientos[Codigo_BEX],[@Codigo_Activo],TablaMovimientos[Tipo_Movimiento],"PERDIDA")</f>
      </c>
      <c r="K89" s="10">
        <f>IF(NOT(ISNUMBER([@Fecha_Ultima_Asignacion])),"",TODAY()-[@Fecha_Ultima_Asignacion])</f>
      </c>
      <c r="L89" s="7" t="inlineStr">
        <is>
          <t xml:space="preserve">Credenciales enviados</t>
        </is>
      </c>
    </row>
    <row r="90">
      <c r="A90" s="7" t="inlineStr">
        <is>
          <t xml:space="preserve">BEX-2012</t>
        </is>
      </c>
      <c r="B90" s="7" t="inlineStr">
        <is>
          <t xml:space="preserve">NUEVA (BEX-2xxx)</t>
        </is>
      </c>
      <c r="C90" s="10" t="inlineStr">
        <is>
          <t xml:space="preserve">POR ASIGNAR</t>
        </is>
      </c>
      <c r="D90" s="7" t="inlineStr">
        <is>
          <t xml:space="preserve">CRISTHIAN EDUARDO CHAVEZ ROMERO</t>
        </is>
      </c>
      <c r="E90" s="10">
        <f>IFERROR(_xlfn.XLOOKUP([@Responsable_Actual],TablaPersonal[Nombres_Apellidos],TablaPersonal[Telefono]),"POR REGISTRAR")</f>
      </c>
      <c r="F90" s="7" t="inlineStr">
        <is>
          <t xml:space="preserve">MARIA FERNANDA DAZA PALMA</t>
        </is>
      </c>
      <c r="G90" s="7" t="inlineStr">
        <is>
          <t xml:space="preserve">TARIJA</t>
        </is>
      </c>
      <c r="H90" s="6">
        <f>IF(COUNTIFS(TablaMovimientos[Codigo_BEX],[@Codigo_Activo])=0,"",_xlfn.MAXIFS(TablaMovimientos[Fecha],TablaMovimientos[Codigo_BEX],[@Codigo_Activo]))</f>
      </c>
      <c r="I9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90" s="10">
        <f>COUNTIFS(TablaMovimientos[Codigo_BEX],[@Codigo_Activo],TablaMovimientos[Tipo_Movimiento],"PERDIDA")</f>
      </c>
      <c r="K90" s="10">
        <f>IF(NOT(ISNUMBER([@Fecha_Ultima_Asignacion])),"",TODAY()-[@Fecha_Ultima_Asignacion])</f>
      </c>
      <c r="L90" s="7" t="inlineStr">
        <is>
          <t xml:space="preserve">Credenciales enviados</t>
        </is>
      </c>
    </row>
    <row r="91">
      <c r="A91" s="7" t="inlineStr">
        <is>
          <t xml:space="preserve">BEX-2013</t>
        </is>
      </c>
      <c r="B91" s="7" t="inlineStr">
        <is>
          <t xml:space="preserve">NUEVA (BEX-2xxx)</t>
        </is>
      </c>
      <c r="C91" s="10" t="inlineStr">
        <is>
          <t xml:space="preserve">POR ASIGNAR</t>
        </is>
      </c>
      <c r="D91" s="7" t="inlineStr">
        <is>
          <t xml:space="preserve">MERCEDES CRUZ RUEDA</t>
        </is>
      </c>
      <c r="E91" s="10">
        <f>IFERROR(_xlfn.XLOOKUP([@Responsable_Actual],TablaPersonal[Nombres_Apellidos],TablaPersonal[Telefono]),"POR REGISTRAR")</f>
      </c>
      <c r="F91" s="7" t="inlineStr">
        <is>
          <t xml:space="preserve">MARIA FERNANDA DAZA PALMA</t>
        </is>
      </c>
      <c r="G91" s="7" t="inlineStr">
        <is>
          <t xml:space="preserve">TARIJA</t>
        </is>
      </c>
      <c r="H91" s="6">
        <f>IF(COUNTIFS(TablaMovimientos[Codigo_BEX],[@Codigo_Activo])=0,"",_xlfn.MAXIFS(TablaMovimientos[Fecha],TablaMovimientos[Codigo_BEX],[@Codigo_Activo]))</f>
      </c>
      <c r="I9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91" s="10">
        <f>COUNTIFS(TablaMovimientos[Codigo_BEX],[@Codigo_Activo],TablaMovimientos[Tipo_Movimiento],"PERDIDA")</f>
      </c>
      <c r="K91" s="10">
        <f>IF(NOT(ISNUMBER([@Fecha_Ultima_Asignacion])),"",TODAY()-[@Fecha_Ultima_Asignacion])</f>
      </c>
      <c r="L91" s="7" t="inlineStr">
        <is>
          <t xml:space="preserve">Credenciales enviados</t>
        </is>
      </c>
    </row>
    <row r="92">
      <c r="A92" s="7" t="inlineStr">
        <is>
          <t xml:space="preserve">BEX-2014</t>
        </is>
      </c>
      <c r="B92" s="7" t="inlineStr">
        <is>
          <t xml:space="preserve">NUEVA (BEX-2xxx)</t>
        </is>
      </c>
      <c r="C92" s="10" t="inlineStr">
        <is>
          <t xml:space="preserve">POR ASIGNAR</t>
        </is>
      </c>
      <c r="D92" s="7" t="inlineStr">
        <is>
          <t xml:space="preserve">PAULA VALDEZ FLORES</t>
        </is>
      </c>
      <c r="E92" s="10">
        <f>IFERROR(_xlfn.XLOOKUP([@Responsable_Actual],TablaPersonal[Nombres_Apellidos],TablaPersonal[Telefono]),"POR REGISTRAR")</f>
      </c>
      <c r="F92" s="7" t="inlineStr">
        <is>
          <t xml:space="preserve">MARIA FERNANDA DAZA PALMA</t>
        </is>
      </c>
      <c r="G92" s="7" t="inlineStr">
        <is>
          <t xml:space="preserve">TARIJA</t>
        </is>
      </c>
      <c r="H92" s="6">
        <f>IF(COUNTIFS(TablaMovimientos[Codigo_BEX],[@Codigo_Activo])=0,"",_xlfn.MAXIFS(TablaMovimientos[Fecha],TablaMovimientos[Codigo_BEX],[@Codigo_Activo]))</f>
      </c>
      <c r="I9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92" s="10">
        <f>COUNTIFS(TablaMovimientos[Codigo_BEX],[@Codigo_Activo],TablaMovimientos[Tipo_Movimiento],"PERDIDA")</f>
      </c>
      <c r="K92" s="10">
        <f>IF(NOT(ISNUMBER([@Fecha_Ultima_Asignacion])),"",TODAY()-[@Fecha_Ultima_Asignacion])</f>
      </c>
      <c r="L92" s="7" t="inlineStr">
        <is>
          <t xml:space="preserve">Credenciales enviados</t>
        </is>
      </c>
    </row>
    <row r="93">
      <c r="A93" s="7" t="inlineStr">
        <is>
          <t xml:space="preserve">BEX-2015</t>
        </is>
      </c>
      <c r="B93" s="7" t="inlineStr">
        <is>
          <t xml:space="preserve">NUEVA (BEX-2xxx)</t>
        </is>
      </c>
      <c r="C93" s="10" t="inlineStr">
        <is>
          <t xml:space="preserve">POR ASIGNAR</t>
        </is>
      </c>
      <c r="D93" s="7" t="inlineStr">
        <is>
          <t xml:space="preserve">YENY GRACIELA FERNANDEZ SANCHEZ</t>
        </is>
      </c>
      <c r="E93" s="10">
        <f>IFERROR(_xlfn.XLOOKUP([@Responsable_Actual],TablaPersonal[Nombres_Apellidos],TablaPersonal[Telefono]),"POR REGISTRAR")</f>
      </c>
      <c r="F93" s="7" t="inlineStr">
        <is>
          <t xml:space="preserve">MARIA FERNANDA DAZA PALMA</t>
        </is>
      </c>
      <c r="G93" s="7" t="inlineStr">
        <is>
          <t xml:space="preserve">TARIJA</t>
        </is>
      </c>
      <c r="H93" s="6">
        <f>IF(COUNTIFS(TablaMovimientos[Codigo_BEX],[@Codigo_Activo])=0,"",_xlfn.MAXIFS(TablaMovimientos[Fecha],TablaMovimientos[Codigo_BEX],[@Codigo_Activo]))</f>
      </c>
      <c r="I9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93" s="10">
        <f>COUNTIFS(TablaMovimientos[Codigo_BEX],[@Codigo_Activo],TablaMovimientos[Tipo_Movimiento],"PERDIDA")</f>
      </c>
      <c r="K93" s="10">
        <f>IF(NOT(ISNUMBER([@Fecha_Ultima_Asignacion])),"",TODAY()-[@Fecha_Ultima_Asignacion])</f>
      </c>
      <c r="L93" s="7" t="inlineStr">
        <is>
          <t xml:space="preserve">Credenciales enviados</t>
        </is>
      </c>
    </row>
    <row r="94">
      <c r="A94" s="7" t="inlineStr">
        <is>
          <t xml:space="preserve">BEX-2016</t>
        </is>
      </c>
      <c r="B94" s="7" t="inlineStr">
        <is>
          <t xml:space="preserve">NUEVA (BEX-2xxx)</t>
        </is>
      </c>
      <c r="C94" s="10" t="inlineStr">
        <is>
          <t xml:space="preserve">POR ASIGNAR</t>
        </is>
      </c>
      <c r="D94" s="7" t="inlineStr">
        <is>
          <t xml:space="preserve">MARIA FERNANDA DAZA PALMA</t>
        </is>
      </c>
      <c r="E94" s="10">
        <f>IFERROR(_xlfn.XLOOKUP([@Responsable_Actual],TablaPersonal[Nombres_Apellidos],TablaPersonal[Telefono]),"POR REGISTRAR")</f>
      </c>
      <c r="F94" s="7" t="inlineStr">
        <is>
          <t xml:space="preserve">MARIA FERNANDA DAZA PALMA</t>
        </is>
      </c>
      <c r="G94" s="7" t="inlineStr">
        <is>
          <t xml:space="preserve">TARIJA</t>
        </is>
      </c>
      <c r="H94" s="6">
        <f>IF(COUNTIFS(TablaMovimientos[Codigo_BEX],[@Codigo_Activo])=0,"",_xlfn.MAXIFS(TablaMovimientos[Fecha],TablaMovimientos[Codigo_BEX],[@Codigo_Activo]))</f>
      </c>
      <c r="I9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94" s="10">
        <f>COUNTIFS(TablaMovimientos[Codigo_BEX],[@Codigo_Activo],TablaMovimientos[Tipo_Movimiento],"PERDIDA")</f>
      </c>
      <c r="K94" s="10">
        <f>IF(NOT(ISNUMBER([@Fecha_Ultima_Asignacion])),"",TODAY()-[@Fecha_Ultima_Asignacion])</f>
      </c>
      <c r="L94" s="7" t="inlineStr">
        <is>
          <t xml:space="preserve">Credenciales enviados</t>
        </is>
      </c>
    </row>
    <row r="95">
      <c r="A95" s="7" t="inlineStr">
        <is>
          <t xml:space="preserve">BEX-2017</t>
        </is>
      </c>
      <c r="B95" s="7" t="inlineStr">
        <is>
          <t xml:space="preserve">NUEVA (BEX-2xxx)</t>
        </is>
      </c>
      <c r="C95" s="10" t="inlineStr">
        <is>
          <t xml:space="preserve">POR ASIGNAR</t>
        </is>
      </c>
      <c r="D95" s="7" t="inlineStr">
        <is>
          <t xml:space="preserve">POR ASIGNAR</t>
        </is>
      </c>
      <c r="E95" s="10">
        <f>IFERROR(_xlfn.XLOOKUP([@Responsable_Actual],TablaPersonal[Nombres_Apellidos],TablaPersonal[Telefono]),"POR REGISTRAR")</f>
      </c>
      <c r="F95" s="7" t="inlineStr">
        <is>
          <t xml:space="preserve">LIONEL CHABUR</t>
        </is>
      </c>
      <c r="G95" s="7" t="inlineStr">
        <is>
          <t xml:space="preserve">LA PAZ</t>
        </is>
      </c>
      <c r="H95" s="6">
        <f>IF(COUNTIFS(TablaMovimientos[Codigo_BEX],[@Codigo_Activo])=0,"",_xlfn.MAXIFS(TablaMovimientos[Fecha],TablaMovimientos[Codigo_BEX],[@Codigo_Activo]))</f>
      </c>
      <c r="I9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95" s="10">
        <f>COUNTIFS(TablaMovimientos[Codigo_BEX],[@Codigo_Activo],TablaMovimientos[Tipo_Movimiento],"PERDIDA")</f>
      </c>
      <c r="K95" s="10">
        <f>IF(NOT(ISNUMBER([@Fecha_Ultima_Asignacion])),"",TODAY()-[@Fecha_Ultima_Asignacion])</f>
      </c>
      <c r="L95" s="7" t="inlineStr">
        <is>
          <t xml:space="preserve"/>
        </is>
      </c>
    </row>
    <row r="96">
      <c r="A96" s="7" t="inlineStr">
        <is>
          <t xml:space="preserve">BEX-2018</t>
        </is>
      </c>
      <c r="B96" s="7" t="inlineStr">
        <is>
          <t xml:space="preserve">NUEVA (BEX-2xxx)</t>
        </is>
      </c>
      <c r="C96" s="10" t="inlineStr">
        <is>
          <t xml:space="preserve">POR ASIGNAR</t>
        </is>
      </c>
      <c r="D96" s="7" t="inlineStr">
        <is>
          <t xml:space="preserve">POR ASIGNAR</t>
        </is>
      </c>
      <c r="E96" s="10">
        <f>IFERROR(_xlfn.XLOOKUP([@Responsable_Actual],TablaPersonal[Nombres_Apellidos],TablaPersonal[Telefono]),"POR REGISTRAR")</f>
      </c>
      <c r="F96" s="7" t="inlineStr">
        <is>
          <t xml:space="preserve">LIONEL CHABUR</t>
        </is>
      </c>
      <c r="G96" s="7" t="inlineStr">
        <is>
          <t xml:space="preserve">LA PAZ</t>
        </is>
      </c>
      <c r="H96" s="6">
        <f>IF(COUNTIFS(TablaMovimientos[Codigo_BEX],[@Codigo_Activo])=0,"",_xlfn.MAXIFS(TablaMovimientos[Fecha],TablaMovimientos[Codigo_BEX],[@Codigo_Activo]))</f>
      </c>
      <c r="I9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96" s="10">
        <f>COUNTIFS(TablaMovimientos[Codigo_BEX],[@Codigo_Activo],TablaMovimientos[Tipo_Movimiento],"PERDIDA")</f>
      </c>
      <c r="K96" s="10">
        <f>IF(NOT(ISNUMBER([@Fecha_Ultima_Asignacion])),"",TODAY()-[@Fecha_Ultima_Asignacion])</f>
      </c>
      <c r="L96" s="7" t="inlineStr">
        <is>
          <t xml:space="preserve"/>
        </is>
      </c>
    </row>
    <row r="97">
      <c r="A97" s="7" t="inlineStr">
        <is>
          <t xml:space="preserve">BEX-2019</t>
        </is>
      </c>
      <c r="B97" s="7" t="inlineStr">
        <is>
          <t xml:space="preserve">NUEVA (BEX-2xxx)</t>
        </is>
      </c>
      <c r="C97" s="10" t="inlineStr">
        <is>
          <t xml:space="preserve">POR ASIGNAR</t>
        </is>
      </c>
      <c r="D97" s="7" t="inlineStr">
        <is>
          <t xml:space="preserve">POR ASIGNAR</t>
        </is>
      </c>
      <c r="E97" s="10">
        <f>IFERROR(_xlfn.XLOOKUP([@Responsable_Actual],TablaPersonal[Nombres_Apellidos],TablaPersonal[Telefono]),"POR REGISTRAR")</f>
      </c>
      <c r="F97" s="7" t="inlineStr">
        <is>
          <t xml:space="preserve">LIONEL CHABUR</t>
        </is>
      </c>
      <c r="G97" s="7" t="inlineStr">
        <is>
          <t xml:space="preserve">LA PAZ</t>
        </is>
      </c>
      <c r="H97" s="6">
        <f>IF(COUNTIFS(TablaMovimientos[Codigo_BEX],[@Codigo_Activo])=0,"",_xlfn.MAXIFS(TablaMovimientos[Fecha],TablaMovimientos[Codigo_BEX],[@Codigo_Activo]))</f>
      </c>
      <c r="I9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97" s="10">
        <f>COUNTIFS(TablaMovimientos[Codigo_BEX],[@Codigo_Activo],TablaMovimientos[Tipo_Movimiento],"PERDIDA")</f>
      </c>
      <c r="K97" s="10">
        <f>IF(NOT(ISNUMBER([@Fecha_Ultima_Asignacion])),"",TODAY()-[@Fecha_Ultima_Asignacion])</f>
      </c>
      <c r="L97" s="7" t="inlineStr">
        <is>
          <t xml:space="preserve"/>
        </is>
      </c>
    </row>
    <row r="98">
      <c r="A98" s="7" t="inlineStr">
        <is>
          <t xml:space="preserve">BEX-2020</t>
        </is>
      </c>
      <c r="B98" s="7" t="inlineStr">
        <is>
          <t xml:space="preserve">NUEVA (BEX-2xxx)</t>
        </is>
      </c>
      <c r="C98" s="10" t="inlineStr">
        <is>
          <t xml:space="preserve">POR ASIGNAR</t>
        </is>
      </c>
      <c r="D98" s="7" t="inlineStr">
        <is>
          <t xml:space="preserve">POR ASIGNAR</t>
        </is>
      </c>
      <c r="E98" s="10">
        <f>IFERROR(_xlfn.XLOOKUP([@Responsable_Actual],TablaPersonal[Nombres_Apellidos],TablaPersonal[Telefono]),"POR REGISTRAR")</f>
      </c>
      <c r="F98" s="7" t="inlineStr">
        <is>
          <t xml:space="preserve">LIONEL CHABUR</t>
        </is>
      </c>
      <c r="G98" s="7" t="inlineStr">
        <is>
          <t xml:space="preserve">LA PAZ</t>
        </is>
      </c>
      <c r="H98" s="6">
        <f>IF(COUNTIFS(TablaMovimientos[Codigo_BEX],[@Codigo_Activo])=0,"",_xlfn.MAXIFS(TablaMovimientos[Fecha],TablaMovimientos[Codigo_BEX],[@Codigo_Activo]))</f>
      </c>
      <c r="I9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98" s="10">
        <f>COUNTIFS(TablaMovimientos[Codigo_BEX],[@Codigo_Activo],TablaMovimientos[Tipo_Movimiento],"PERDIDA")</f>
      </c>
      <c r="K98" s="10">
        <f>IF(NOT(ISNUMBER([@Fecha_Ultima_Asignacion])),"",TODAY()-[@Fecha_Ultima_Asignacion])</f>
      </c>
      <c r="L98" s="7" t="inlineStr">
        <is>
          <t xml:space="preserve"/>
        </is>
      </c>
    </row>
    <row r="99">
      <c r="A99" s="7" t="inlineStr">
        <is>
          <t xml:space="preserve">BEX-2021</t>
        </is>
      </c>
      <c r="B99" s="7" t="inlineStr">
        <is>
          <t xml:space="preserve">NUEVA (BEX-2xxx)</t>
        </is>
      </c>
      <c r="C99" s="10" t="inlineStr">
        <is>
          <t xml:space="preserve">POR ASIGNAR</t>
        </is>
      </c>
      <c r="D99" s="7" t="inlineStr">
        <is>
          <t xml:space="preserve">POR ASIGNAR</t>
        </is>
      </c>
      <c r="E99" s="10">
        <f>IFERROR(_xlfn.XLOOKUP([@Responsable_Actual],TablaPersonal[Nombres_Apellidos],TablaPersonal[Telefono]),"POR REGISTRAR")</f>
      </c>
      <c r="F99" s="7" t="inlineStr">
        <is>
          <t xml:space="preserve">LIONEL CHABUR</t>
        </is>
      </c>
      <c r="G99" s="7" t="inlineStr">
        <is>
          <t xml:space="preserve">LA PAZ</t>
        </is>
      </c>
      <c r="H99" s="6">
        <f>IF(COUNTIFS(TablaMovimientos[Codigo_BEX],[@Codigo_Activo])=0,"",_xlfn.MAXIFS(TablaMovimientos[Fecha],TablaMovimientos[Codigo_BEX],[@Codigo_Activo]))</f>
      </c>
      <c r="I9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99" s="10">
        <f>COUNTIFS(TablaMovimientos[Codigo_BEX],[@Codigo_Activo],TablaMovimientos[Tipo_Movimiento],"PERDIDA")</f>
      </c>
      <c r="K99" s="10">
        <f>IF(NOT(ISNUMBER([@Fecha_Ultima_Asignacion])),"",TODAY()-[@Fecha_Ultima_Asignacion])</f>
      </c>
      <c r="L99" s="7" t="inlineStr">
        <is>
          <t xml:space="preserve"/>
        </is>
      </c>
    </row>
    <row r="100">
      <c r="A100" s="7" t="inlineStr">
        <is>
          <t xml:space="preserve">BEX-2022</t>
        </is>
      </c>
      <c r="B100" s="7" t="inlineStr">
        <is>
          <t xml:space="preserve">NUEVA (BEX-2xxx)</t>
        </is>
      </c>
      <c r="C100" s="10" t="inlineStr">
        <is>
          <t xml:space="preserve">POR ASIGNAR</t>
        </is>
      </c>
      <c r="D100" s="7" t="inlineStr">
        <is>
          <t xml:space="preserve">POR ASIGNAR</t>
        </is>
      </c>
      <c r="E100" s="10">
        <f>IFERROR(_xlfn.XLOOKUP([@Responsable_Actual],TablaPersonal[Nombres_Apellidos],TablaPersonal[Telefono]),"POR REGISTRAR")</f>
      </c>
      <c r="F100" s="7" t="inlineStr">
        <is>
          <t xml:space="preserve">LIONEL CHABUR</t>
        </is>
      </c>
      <c r="G100" s="7" t="inlineStr">
        <is>
          <t xml:space="preserve">LA PAZ</t>
        </is>
      </c>
      <c r="H100" s="6">
        <f>IF(COUNTIFS(TablaMovimientos[Codigo_BEX],[@Codigo_Activo])=0,"",_xlfn.MAXIFS(TablaMovimientos[Fecha],TablaMovimientos[Codigo_BEX],[@Codigo_Activo]))</f>
      </c>
      <c r="I10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00" s="10">
        <f>COUNTIFS(TablaMovimientos[Codigo_BEX],[@Codigo_Activo],TablaMovimientos[Tipo_Movimiento],"PERDIDA")</f>
      </c>
      <c r="K100" s="10">
        <f>IF(NOT(ISNUMBER([@Fecha_Ultima_Asignacion])),"",TODAY()-[@Fecha_Ultima_Asignacion])</f>
      </c>
      <c r="L100" s="7" t="inlineStr">
        <is>
          <t xml:space="preserve"/>
        </is>
      </c>
    </row>
    <row r="101">
      <c r="A101" s="7" t="inlineStr">
        <is>
          <t xml:space="preserve">BEX-2023</t>
        </is>
      </c>
      <c r="B101" s="7" t="inlineStr">
        <is>
          <t xml:space="preserve">NUEVA (BEX-2xxx)</t>
        </is>
      </c>
      <c r="C101" s="10" t="inlineStr">
        <is>
          <t xml:space="preserve">POR ASIGNAR</t>
        </is>
      </c>
      <c r="D101" s="7" t="inlineStr">
        <is>
          <t xml:space="preserve">POR ASIGNAR</t>
        </is>
      </c>
      <c r="E101" s="10">
        <f>IFERROR(_xlfn.XLOOKUP([@Responsable_Actual],TablaPersonal[Nombres_Apellidos],TablaPersonal[Telefono]),"POR REGISTRAR")</f>
      </c>
      <c r="F101" s="7" t="inlineStr">
        <is>
          <t xml:space="preserve">LIONEL CHABUR</t>
        </is>
      </c>
      <c r="G101" s="7" t="inlineStr">
        <is>
          <t xml:space="preserve">LA PAZ</t>
        </is>
      </c>
      <c r="H101" s="6">
        <f>IF(COUNTIFS(TablaMovimientos[Codigo_BEX],[@Codigo_Activo])=0,"",_xlfn.MAXIFS(TablaMovimientos[Fecha],TablaMovimientos[Codigo_BEX],[@Codigo_Activo]))</f>
      </c>
      <c r="I10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01" s="10">
        <f>COUNTIFS(TablaMovimientos[Codigo_BEX],[@Codigo_Activo],TablaMovimientos[Tipo_Movimiento],"PERDIDA")</f>
      </c>
      <c r="K101" s="10">
        <f>IF(NOT(ISNUMBER([@Fecha_Ultima_Asignacion])),"",TODAY()-[@Fecha_Ultima_Asignacion])</f>
      </c>
      <c r="L101" s="7" t="inlineStr">
        <is>
          <t xml:space="preserve"/>
        </is>
      </c>
    </row>
    <row r="102">
      <c r="A102" s="7" t="inlineStr">
        <is>
          <t xml:space="preserve">BEX-2024</t>
        </is>
      </c>
      <c r="B102" s="7" t="inlineStr">
        <is>
          <t xml:space="preserve">NUEVA (BEX-2xxx)</t>
        </is>
      </c>
      <c r="C102" s="10" t="inlineStr">
        <is>
          <t xml:space="preserve">POR ASIGNAR</t>
        </is>
      </c>
      <c r="D102" s="7" t="inlineStr">
        <is>
          <t xml:space="preserve">POR ASIGNAR</t>
        </is>
      </c>
      <c r="E102" s="10">
        <f>IFERROR(_xlfn.XLOOKUP([@Responsable_Actual],TablaPersonal[Nombres_Apellidos],TablaPersonal[Telefono]),"POR REGISTRAR")</f>
      </c>
      <c r="F102" s="7" t="inlineStr">
        <is>
          <t xml:space="preserve">LIONEL CHABUR</t>
        </is>
      </c>
      <c r="G102" s="7" t="inlineStr">
        <is>
          <t xml:space="preserve">LA PAZ</t>
        </is>
      </c>
      <c r="H102" s="6">
        <f>IF(COUNTIFS(TablaMovimientos[Codigo_BEX],[@Codigo_Activo])=0,"",_xlfn.MAXIFS(TablaMovimientos[Fecha],TablaMovimientos[Codigo_BEX],[@Codigo_Activo]))</f>
      </c>
      <c r="I10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02" s="10">
        <f>COUNTIFS(TablaMovimientos[Codigo_BEX],[@Codigo_Activo],TablaMovimientos[Tipo_Movimiento],"PERDIDA")</f>
      </c>
      <c r="K102" s="10">
        <f>IF(NOT(ISNUMBER([@Fecha_Ultima_Asignacion])),"",TODAY()-[@Fecha_Ultima_Asignacion])</f>
      </c>
      <c r="L102" s="7" t="inlineStr">
        <is>
          <t xml:space="preserve"/>
        </is>
      </c>
    </row>
    <row r="103">
      <c r="A103" s="7" t="inlineStr">
        <is>
          <t xml:space="preserve">BEX-2025</t>
        </is>
      </c>
      <c r="B103" s="7" t="inlineStr">
        <is>
          <t xml:space="preserve">NUEVA (BEX-2xxx)</t>
        </is>
      </c>
      <c r="C103" s="10" t="inlineStr">
        <is>
          <t xml:space="preserve">POR ASIGNAR</t>
        </is>
      </c>
      <c r="D103" s="7" t="inlineStr">
        <is>
          <t xml:space="preserve">POR ASIGNAR</t>
        </is>
      </c>
      <c r="E103" s="10">
        <f>IFERROR(_xlfn.XLOOKUP([@Responsable_Actual],TablaPersonal[Nombres_Apellidos],TablaPersonal[Telefono]),"POR REGISTRAR")</f>
      </c>
      <c r="F103" s="7" t="inlineStr">
        <is>
          <t xml:space="preserve">LIONEL CHABUR</t>
        </is>
      </c>
      <c r="G103" s="7" t="inlineStr">
        <is>
          <t xml:space="preserve">LA PAZ</t>
        </is>
      </c>
      <c r="H103" s="6">
        <f>IF(COUNTIFS(TablaMovimientos[Codigo_BEX],[@Codigo_Activo])=0,"",_xlfn.MAXIFS(TablaMovimientos[Fecha],TablaMovimientos[Codigo_BEX],[@Codigo_Activo]))</f>
      </c>
      <c r="I10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03" s="10">
        <f>COUNTIFS(TablaMovimientos[Codigo_BEX],[@Codigo_Activo],TablaMovimientos[Tipo_Movimiento],"PERDIDA")</f>
      </c>
      <c r="K103" s="10">
        <f>IF(NOT(ISNUMBER([@Fecha_Ultima_Asignacion])),"",TODAY()-[@Fecha_Ultima_Asignacion])</f>
      </c>
      <c r="L103" s="7" t="inlineStr">
        <is>
          <t xml:space="preserve"/>
        </is>
      </c>
    </row>
    <row r="104">
      <c r="A104" s="7" t="inlineStr">
        <is>
          <t xml:space="preserve">BEX-2026</t>
        </is>
      </c>
      <c r="B104" s="7" t="inlineStr">
        <is>
          <t xml:space="preserve">NUEVA (BEX-2xxx)</t>
        </is>
      </c>
      <c r="C104" s="10" t="inlineStr">
        <is>
          <t xml:space="preserve">POR ASIGNAR</t>
        </is>
      </c>
      <c r="D104" s="7" t="inlineStr">
        <is>
          <t xml:space="preserve">POR ASIGNAR</t>
        </is>
      </c>
      <c r="E104" s="10">
        <f>IFERROR(_xlfn.XLOOKUP([@Responsable_Actual],TablaPersonal[Nombres_Apellidos],TablaPersonal[Telefono]),"POR REGISTRAR")</f>
      </c>
      <c r="F104" s="7" t="inlineStr">
        <is>
          <t xml:space="preserve">LIONEL CHABUR</t>
        </is>
      </c>
      <c r="G104" s="7" t="inlineStr">
        <is>
          <t xml:space="preserve">LA PAZ</t>
        </is>
      </c>
      <c r="H104" s="6">
        <f>IF(COUNTIFS(TablaMovimientos[Codigo_BEX],[@Codigo_Activo])=0,"",_xlfn.MAXIFS(TablaMovimientos[Fecha],TablaMovimientos[Codigo_BEX],[@Codigo_Activo]))</f>
      </c>
      <c r="I10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04" s="10">
        <f>COUNTIFS(TablaMovimientos[Codigo_BEX],[@Codigo_Activo],TablaMovimientos[Tipo_Movimiento],"PERDIDA")</f>
      </c>
      <c r="K104" s="10">
        <f>IF(NOT(ISNUMBER([@Fecha_Ultima_Asignacion])),"",TODAY()-[@Fecha_Ultima_Asignacion])</f>
      </c>
      <c r="L104" s="7" t="inlineStr">
        <is>
          <t xml:space="preserve"/>
        </is>
      </c>
    </row>
    <row r="105">
      <c r="A105" s="7" t="inlineStr">
        <is>
          <t xml:space="preserve">BEX-2027</t>
        </is>
      </c>
      <c r="B105" s="7" t="inlineStr">
        <is>
          <t xml:space="preserve">NUEVA (BEX-2xxx)</t>
        </is>
      </c>
      <c r="C105" s="10" t="inlineStr">
        <is>
          <t xml:space="preserve">POR ASIGNAR</t>
        </is>
      </c>
      <c r="D105" s="7" t="inlineStr">
        <is>
          <t xml:space="preserve">POR ASIGNAR</t>
        </is>
      </c>
      <c r="E105" s="10">
        <f>IFERROR(_xlfn.XLOOKUP([@Responsable_Actual],TablaPersonal[Nombres_Apellidos],TablaPersonal[Telefono]),"POR REGISTRAR")</f>
      </c>
      <c r="F105" s="7" t="inlineStr">
        <is>
          <t xml:space="preserve">NATALIA VILLARROEL</t>
        </is>
      </c>
      <c r="G105" s="7" t="inlineStr">
        <is>
          <t xml:space="preserve">COCHABAMBA</t>
        </is>
      </c>
      <c r="H105" s="6">
        <f>IF(COUNTIFS(TablaMovimientos[Codigo_BEX],[@Codigo_Activo])=0,"",_xlfn.MAXIFS(TablaMovimientos[Fecha],TablaMovimientos[Codigo_BEX],[@Codigo_Activo]))</f>
      </c>
      <c r="I10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05" s="10">
        <f>COUNTIFS(TablaMovimientos[Codigo_BEX],[@Codigo_Activo],TablaMovimientos[Tipo_Movimiento],"PERDIDA")</f>
      </c>
      <c r="K105" s="10">
        <f>IF(NOT(ISNUMBER([@Fecha_Ultima_Asignacion])),"",TODAY()-[@Fecha_Ultima_Asignacion])</f>
      </c>
      <c r="L105" s="7" t="inlineStr">
        <is>
          <t xml:space="preserve"/>
        </is>
      </c>
    </row>
    <row r="106">
      <c r="A106" s="7" t="inlineStr">
        <is>
          <t xml:space="preserve">BEX-2028</t>
        </is>
      </c>
      <c r="B106" s="7" t="inlineStr">
        <is>
          <t xml:space="preserve">NUEVA (BEX-2xxx)</t>
        </is>
      </c>
      <c r="C106" s="10" t="inlineStr">
        <is>
          <t xml:space="preserve">POR ASIGNAR</t>
        </is>
      </c>
      <c r="D106" s="7" t="inlineStr">
        <is>
          <t xml:space="preserve">POR ASIGNAR</t>
        </is>
      </c>
      <c r="E106" s="10">
        <f>IFERROR(_xlfn.XLOOKUP([@Responsable_Actual],TablaPersonal[Nombres_Apellidos],TablaPersonal[Telefono]),"POR REGISTRAR")</f>
      </c>
      <c r="F106" s="7" t="inlineStr">
        <is>
          <t xml:space="preserve">NATALIA VILLARROEL</t>
        </is>
      </c>
      <c r="G106" s="7" t="inlineStr">
        <is>
          <t xml:space="preserve">COCHABAMBA</t>
        </is>
      </c>
      <c r="H106" s="6">
        <f>IF(COUNTIFS(TablaMovimientos[Codigo_BEX],[@Codigo_Activo])=0,"",_xlfn.MAXIFS(TablaMovimientos[Fecha],TablaMovimientos[Codigo_BEX],[@Codigo_Activo]))</f>
      </c>
      <c r="I10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06" s="10">
        <f>COUNTIFS(TablaMovimientos[Codigo_BEX],[@Codigo_Activo],TablaMovimientos[Tipo_Movimiento],"PERDIDA")</f>
      </c>
      <c r="K106" s="10">
        <f>IF(NOT(ISNUMBER([@Fecha_Ultima_Asignacion])),"",TODAY()-[@Fecha_Ultima_Asignacion])</f>
      </c>
      <c r="L106" s="7" t="inlineStr">
        <is>
          <t xml:space="preserve"/>
        </is>
      </c>
    </row>
    <row r="107">
      <c r="A107" s="7" t="inlineStr">
        <is>
          <t xml:space="preserve">BEX-2029</t>
        </is>
      </c>
      <c r="B107" s="7" t="inlineStr">
        <is>
          <t xml:space="preserve">NUEVA (BEX-2xxx)</t>
        </is>
      </c>
      <c r="C107" s="10" t="inlineStr">
        <is>
          <t xml:space="preserve">POR ASIGNAR</t>
        </is>
      </c>
      <c r="D107" s="7" t="inlineStr">
        <is>
          <t xml:space="preserve">POR ASIGNAR</t>
        </is>
      </c>
      <c r="E107" s="10">
        <f>IFERROR(_xlfn.XLOOKUP([@Responsable_Actual],TablaPersonal[Nombres_Apellidos],TablaPersonal[Telefono]),"POR REGISTRAR")</f>
      </c>
      <c r="F107" s="7" t="inlineStr">
        <is>
          <t xml:space="preserve">NATALIA VILLARROEL</t>
        </is>
      </c>
      <c r="G107" s="7" t="inlineStr">
        <is>
          <t xml:space="preserve">COCHABAMBA</t>
        </is>
      </c>
      <c r="H107" s="6">
        <f>IF(COUNTIFS(TablaMovimientos[Codigo_BEX],[@Codigo_Activo])=0,"",_xlfn.MAXIFS(TablaMovimientos[Fecha],TablaMovimientos[Codigo_BEX],[@Codigo_Activo]))</f>
      </c>
      <c r="I10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07" s="10">
        <f>COUNTIFS(TablaMovimientos[Codigo_BEX],[@Codigo_Activo],TablaMovimientos[Tipo_Movimiento],"PERDIDA")</f>
      </c>
      <c r="K107" s="10">
        <f>IF(NOT(ISNUMBER([@Fecha_Ultima_Asignacion])),"",TODAY()-[@Fecha_Ultima_Asignacion])</f>
      </c>
      <c r="L107" s="7" t="inlineStr">
        <is>
          <t xml:space="preserve"/>
        </is>
      </c>
    </row>
    <row r="108">
      <c r="A108" s="7" t="inlineStr">
        <is>
          <t xml:space="preserve">BEX-2030</t>
        </is>
      </c>
      <c r="B108" s="7" t="inlineStr">
        <is>
          <t xml:space="preserve">NUEVA (BEX-2xxx)</t>
        </is>
      </c>
      <c r="C108" s="10" t="inlineStr">
        <is>
          <t xml:space="preserve">POR ASIGNAR</t>
        </is>
      </c>
      <c r="D108" s="7" t="inlineStr">
        <is>
          <t xml:space="preserve">POR ASIGNAR</t>
        </is>
      </c>
      <c r="E108" s="10">
        <f>IFERROR(_xlfn.XLOOKUP([@Responsable_Actual],TablaPersonal[Nombres_Apellidos],TablaPersonal[Telefono]),"POR REGISTRAR")</f>
      </c>
      <c r="F108" s="7" t="inlineStr">
        <is>
          <t xml:space="preserve">NATALIA VILLARROEL</t>
        </is>
      </c>
      <c r="G108" s="7" t="inlineStr">
        <is>
          <t xml:space="preserve">COCHABAMBA</t>
        </is>
      </c>
      <c r="H108" s="6">
        <f>IF(COUNTIFS(TablaMovimientos[Codigo_BEX],[@Codigo_Activo])=0,"",_xlfn.MAXIFS(TablaMovimientos[Fecha],TablaMovimientos[Codigo_BEX],[@Codigo_Activo]))</f>
      </c>
      <c r="I10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08" s="10">
        <f>COUNTIFS(TablaMovimientos[Codigo_BEX],[@Codigo_Activo],TablaMovimientos[Tipo_Movimiento],"PERDIDA")</f>
      </c>
      <c r="K108" s="10">
        <f>IF(NOT(ISNUMBER([@Fecha_Ultima_Asignacion])),"",TODAY()-[@Fecha_Ultima_Asignacion])</f>
      </c>
      <c r="L108" s="7" t="inlineStr">
        <is>
          <t xml:space="preserve"/>
        </is>
      </c>
    </row>
    <row r="109">
      <c r="A109" s="7" t="inlineStr">
        <is>
          <t xml:space="preserve">BEX-2031</t>
        </is>
      </c>
      <c r="B109" s="7" t="inlineStr">
        <is>
          <t xml:space="preserve">NUEVA (BEX-2xxx)</t>
        </is>
      </c>
      <c r="C109" s="10" t="inlineStr">
        <is>
          <t xml:space="preserve">POR ASIGNAR</t>
        </is>
      </c>
      <c r="D109" s="7" t="inlineStr">
        <is>
          <t xml:space="preserve">POR ASIGNAR</t>
        </is>
      </c>
      <c r="E109" s="10">
        <f>IFERROR(_xlfn.XLOOKUP([@Responsable_Actual],TablaPersonal[Nombres_Apellidos],TablaPersonal[Telefono]),"POR REGISTRAR")</f>
      </c>
      <c r="F109" s="7" t="inlineStr">
        <is>
          <t xml:space="preserve">NATALIA VILLARROEL</t>
        </is>
      </c>
      <c r="G109" s="7" t="inlineStr">
        <is>
          <t xml:space="preserve">COCHABAMBA</t>
        </is>
      </c>
      <c r="H109" s="6">
        <f>IF(COUNTIFS(TablaMovimientos[Codigo_BEX],[@Codigo_Activo])=0,"",_xlfn.MAXIFS(TablaMovimientos[Fecha],TablaMovimientos[Codigo_BEX],[@Codigo_Activo]))</f>
      </c>
      <c r="I10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09" s="10">
        <f>COUNTIFS(TablaMovimientos[Codigo_BEX],[@Codigo_Activo],TablaMovimientos[Tipo_Movimiento],"PERDIDA")</f>
      </c>
      <c r="K109" s="10">
        <f>IF(NOT(ISNUMBER([@Fecha_Ultima_Asignacion])),"",TODAY()-[@Fecha_Ultima_Asignacion])</f>
      </c>
      <c r="L109" s="7" t="inlineStr">
        <is>
          <t xml:space="preserve"/>
        </is>
      </c>
    </row>
    <row r="110">
      <c r="A110" s="7" t="inlineStr">
        <is>
          <t xml:space="preserve">BEX-2032</t>
        </is>
      </c>
      <c r="B110" s="7" t="inlineStr">
        <is>
          <t xml:space="preserve">NUEVA (BEX-2xxx)</t>
        </is>
      </c>
      <c r="C110" s="10" t="inlineStr">
        <is>
          <t xml:space="preserve">POR ASIGNAR</t>
        </is>
      </c>
      <c r="D110" s="7" t="inlineStr">
        <is>
          <t xml:space="preserve">POR ASIGNAR</t>
        </is>
      </c>
      <c r="E110" s="10">
        <f>IFERROR(_xlfn.XLOOKUP([@Responsable_Actual],TablaPersonal[Nombres_Apellidos],TablaPersonal[Telefono]),"POR REGISTRAR")</f>
      </c>
      <c r="F110" s="7" t="inlineStr">
        <is>
          <t xml:space="preserve">NATALIA VILLARROEL</t>
        </is>
      </c>
      <c r="G110" s="7" t="inlineStr">
        <is>
          <t xml:space="preserve">COCHABAMBA</t>
        </is>
      </c>
      <c r="H110" s="6">
        <f>IF(COUNTIFS(TablaMovimientos[Codigo_BEX],[@Codigo_Activo])=0,"",_xlfn.MAXIFS(TablaMovimientos[Fecha],TablaMovimientos[Codigo_BEX],[@Codigo_Activo]))</f>
      </c>
      <c r="I11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10" s="10">
        <f>COUNTIFS(TablaMovimientos[Codigo_BEX],[@Codigo_Activo],TablaMovimientos[Tipo_Movimiento],"PERDIDA")</f>
      </c>
      <c r="K110" s="10">
        <f>IF(NOT(ISNUMBER([@Fecha_Ultima_Asignacion])),"",TODAY()-[@Fecha_Ultima_Asignacion])</f>
      </c>
      <c r="L110" s="7" t="inlineStr">
        <is>
          <t xml:space="preserve"/>
        </is>
      </c>
    </row>
    <row r="111">
      <c r="A111" s="7" t="inlineStr">
        <is>
          <t xml:space="preserve">BEX-2033</t>
        </is>
      </c>
      <c r="B111" s="7" t="inlineStr">
        <is>
          <t xml:space="preserve">NUEVA (BEX-2xxx)</t>
        </is>
      </c>
      <c r="C111" s="10" t="inlineStr">
        <is>
          <t xml:space="preserve">POR ASIGNAR</t>
        </is>
      </c>
      <c r="D111" s="7" t="inlineStr">
        <is>
          <t xml:space="preserve">POR ASIGNAR</t>
        </is>
      </c>
      <c r="E111" s="10">
        <f>IFERROR(_xlfn.XLOOKUP([@Responsable_Actual],TablaPersonal[Nombres_Apellidos],TablaPersonal[Telefono]),"POR REGISTRAR")</f>
      </c>
      <c r="F111" s="7" t="inlineStr">
        <is>
          <t xml:space="preserve">NATALIA VILLARROEL</t>
        </is>
      </c>
      <c r="G111" s="7" t="inlineStr">
        <is>
          <t xml:space="preserve">COCHABAMBA</t>
        </is>
      </c>
      <c r="H111" s="6">
        <f>IF(COUNTIFS(TablaMovimientos[Codigo_BEX],[@Codigo_Activo])=0,"",_xlfn.MAXIFS(TablaMovimientos[Fecha],TablaMovimientos[Codigo_BEX],[@Codigo_Activo]))</f>
      </c>
      <c r="I11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11" s="10">
        <f>COUNTIFS(TablaMovimientos[Codigo_BEX],[@Codigo_Activo],TablaMovimientos[Tipo_Movimiento],"PERDIDA")</f>
      </c>
      <c r="K111" s="10">
        <f>IF(NOT(ISNUMBER([@Fecha_Ultima_Asignacion])),"",TODAY()-[@Fecha_Ultima_Asignacion])</f>
      </c>
      <c r="L111" s="7" t="inlineStr">
        <is>
          <t xml:space="preserve"/>
        </is>
      </c>
    </row>
    <row r="112">
      <c r="A112" s="7" t="inlineStr">
        <is>
          <t xml:space="preserve">BEX-2034</t>
        </is>
      </c>
      <c r="B112" s="7" t="inlineStr">
        <is>
          <t xml:space="preserve">NUEVA (BEX-2xxx)</t>
        </is>
      </c>
      <c r="C112" s="10" t="inlineStr">
        <is>
          <t xml:space="preserve">POR ASIGNAR</t>
        </is>
      </c>
      <c r="D112" s="7" t="inlineStr">
        <is>
          <t xml:space="preserve">POR ASIGNAR</t>
        </is>
      </c>
      <c r="E112" s="10">
        <f>IFERROR(_xlfn.XLOOKUP([@Responsable_Actual],TablaPersonal[Nombres_Apellidos],TablaPersonal[Telefono]),"POR REGISTRAR")</f>
      </c>
      <c r="F112" s="7" t="inlineStr">
        <is>
          <t xml:space="preserve">NATALIA VILLARROEL</t>
        </is>
      </c>
      <c r="G112" s="7" t="inlineStr">
        <is>
          <t xml:space="preserve">COCHABAMBA</t>
        </is>
      </c>
      <c r="H112" s="6">
        <f>IF(COUNTIFS(TablaMovimientos[Codigo_BEX],[@Codigo_Activo])=0,"",_xlfn.MAXIFS(TablaMovimientos[Fecha],TablaMovimientos[Codigo_BEX],[@Codigo_Activo]))</f>
      </c>
      <c r="I11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12" s="10">
        <f>COUNTIFS(TablaMovimientos[Codigo_BEX],[@Codigo_Activo],TablaMovimientos[Tipo_Movimiento],"PERDIDA")</f>
      </c>
      <c r="K112" s="10">
        <f>IF(NOT(ISNUMBER([@Fecha_Ultima_Asignacion])),"",TODAY()-[@Fecha_Ultima_Asignacion])</f>
      </c>
      <c r="L112" s="7" t="inlineStr">
        <is>
          <t xml:space="preserve"/>
        </is>
      </c>
    </row>
    <row r="113">
      <c r="A113" s="7" t="inlineStr">
        <is>
          <t xml:space="preserve">BEX-2035</t>
        </is>
      </c>
      <c r="B113" s="7" t="inlineStr">
        <is>
          <t xml:space="preserve">NUEVA (BEX-2xxx)</t>
        </is>
      </c>
      <c r="C113" s="10" t="inlineStr">
        <is>
          <t xml:space="preserve">POR ASIGNAR</t>
        </is>
      </c>
      <c r="D113" s="7" t="inlineStr">
        <is>
          <t xml:space="preserve">POR ASIGNAR</t>
        </is>
      </c>
      <c r="E113" s="10">
        <f>IFERROR(_xlfn.XLOOKUP([@Responsable_Actual],TablaPersonal[Nombres_Apellidos],TablaPersonal[Telefono]),"POR REGISTRAR")</f>
      </c>
      <c r="F113" s="7" t="inlineStr">
        <is>
          <t xml:space="preserve">NATALIA VILLARROEL</t>
        </is>
      </c>
      <c r="G113" s="7" t="inlineStr">
        <is>
          <t xml:space="preserve">COCHABAMBA</t>
        </is>
      </c>
      <c r="H113" s="6">
        <f>IF(COUNTIFS(TablaMovimientos[Codigo_BEX],[@Codigo_Activo])=0,"",_xlfn.MAXIFS(TablaMovimientos[Fecha],TablaMovimientos[Codigo_BEX],[@Codigo_Activo]))</f>
      </c>
      <c r="I11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13" s="10">
        <f>COUNTIFS(TablaMovimientos[Codigo_BEX],[@Codigo_Activo],TablaMovimientos[Tipo_Movimiento],"PERDIDA")</f>
      </c>
      <c r="K113" s="10">
        <f>IF(NOT(ISNUMBER([@Fecha_Ultima_Asignacion])),"",TODAY()-[@Fecha_Ultima_Asignacion])</f>
      </c>
      <c r="L113" s="7" t="inlineStr">
        <is>
          <t xml:space="preserve"/>
        </is>
      </c>
    </row>
    <row r="114">
      <c r="A114" s="7" t="inlineStr">
        <is>
          <t xml:space="preserve">BEX-2036</t>
        </is>
      </c>
      <c r="B114" s="7" t="inlineStr">
        <is>
          <t xml:space="preserve">NUEVA (BEX-2xxx)</t>
        </is>
      </c>
      <c r="C114" s="10" t="inlineStr">
        <is>
          <t xml:space="preserve">POR ASIGNAR</t>
        </is>
      </c>
      <c r="D114" s="7" t="inlineStr">
        <is>
          <t xml:space="preserve">POR ASIGNAR</t>
        </is>
      </c>
      <c r="E114" s="10">
        <f>IFERROR(_xlfn.XLOOKUP([@Responsable_Actual],TablaPersonal[Nombres_Apellidos],TablaPersonal[Telefono]),"POR REGISTRAR")</f>
      </c>
      <c r="F114" s="7" t="inlineStr">
        <is>
          <t xml:space="preserve">NATALIA VILLARROEL</t>
        </is>
      </c>
      <c r="G114" s="7" t="inlineStr">
        <is>
          <t xml:space="preserve">COCHABAMBA</t>
        </is>
      </c>
      <c r="H114" s="6">
        <f>IF(COUNTIFS(TablaMovimientos[Codigo_BEX],[@Codigo_Activo])=0,"",_xlfn.MAXIFS(TablaMovimientos[Fecha],TablaMovimientos[Codigo_BEX],[@Codigo_Activo]))</f>
      </c>
      <c r="I11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14" s="10">
        <f>COUNTIFS(TablaMovimientos[Codigo_BEX],[@Codigo_Activo],TablaMovimientos[Tipo_Movimiento],"PERDIDA")</f>
      </c>
      <c r="K114" s="10">
        <f>IF(NOT(ISNUMBER([@Fecha_Ultima_Asignacion])),"",TODAY()-[@Fecha_Ultima_Asignacion])</f>
      </c>
      <c r="L114" s="7" t="inlineStr">
        <is>
          <t xml:space="preserve"/>
        </is>
      </c>
    </row>
    <row r="115">
      <c r="A115" s="7" t="inlineStr">
        <is>
          <t xml:space="preserve">BEX-2037</t>
        </is>
      </c>
      <c r="B115" s="7" t="inlineStr">
        <is>
          <t xml:space="preserve">NUEVA (BEX-2xxx)</t>
        </is>
      </c>
      <c r="C115" s="10" t="inlineStr">
        <is>
          <t xml:space="preserve">ASIGNADO</t>
        </is>
      </c>
      <c r="D115" s="7" t="inlineStr">
        <is>
          <t xml:space="preserve">ALEXIA MICAELA ERGUETA ALIAGA</t>
        </is>
      </c>
      <c r="E115" s="10">
        <f>IFERROR(_xlfn.XLOOKUP([@Responsable_Actual],TablaPersonal[Nombres_Apellidos],TablaPersonal[Telefono]),"POR REGISTRAR")</f>
      </c>
      <c r="F115" s="7" t="inlineStr">
        <is>
          <t xml:space="preserve">GERCY EVER ERGUETA KIPPES</t>
        </is>
      </c>
      <c r="G115" s="7" t="inlineStr">
        <is>
          <t xml:space="preserve">LA PAZ</t>
        </is>
      </c>
      <c r="H115" s="6">
        <f>IF(COUNTIFS(TablaMovimientos[Codigo_BEX],[@Codigo_Activo])=0,"",_xlfn.MAXIFS(TablaMovimientos[Fecha],TablaMovimientos[Codigo_BEX],[@Codigo_Activo]))</f>
      </c>
      <c r="I11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15" s="10">
        <f>COUNTIFS(TablaMovimientos[Codigo_BEX],[@Codigo_Activo],TablaMovimientos[Tipo_Movimiento],"PERDIDA")</f>
      </c>
      <c r="K115" s="10">
        <f>IF(NOT(ISNUMBER([@Fecha_Ultima_Asignacion])),"",TODAY()-[@Fecha_Ultima_Asignacion])</f>
      </c>
      <c r="L115" s="7" t="inlineStr">
        <is>
          <t xml:space="preserve"/>
        </is>
      </c>
    </row>
    <row r="116">
      <c r="A116" s="7" t="inlineStr">
        <is>
          <t xml:space="preserve">BEX-2038</t>
        </is>
      </c>
      <c r="B116" s="7" t="inlineStr">
        <is>
          <t xml:space="preserve">NUEVA (BEX-2xxx)</t>
        </is>
      </c>
      <c r="C116" s="10" t="inlineStr">
        <is>
          <t xml:space="preserve">ASIGNADO</t>
        </is>
      </c>
      <c r="D116" s="7" t="inlineStr">
        <is>
          <t xml:space="preserve">GERCY EVER ERGUETA KIPPES</t>
        </is>
      </c>
      <c r="E116" s="10">
        <f>IFERROR(_xlfn.XLOOKUP([@Responsable_Actual],TablaPersonal[Nombres_Apellidos],TablaPersonal[Telefono]),"POR REGISTRAR")</f>
      </c>
      <c r="F116" s="7" t="inlineStr">
        <is>
          <t xml:space="preserve">GERCY EVER ERGUETA KIPPES</t>
        </is>
      </c>
      <c r="G116" s="7" t="inlineStr">
        <is>
          <t xml:space="preserve">LA PAZ</t>
        </is>
      </c>
      <c r="H116" s="6">
        <f>IF(COUNTIFS(TablaMovimientos[Codigo_BEX],[@Codigo_Activo])=0,"",_xlfn.MAXIFS(TablaMovimientos[Fecha],TablaMovimientos[Codigo_BEX],[@Codigo_Activo]))</f>
      </c>
      <c r="I11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16" s="10">
        <f>COUNTIFS(TablaMovimientos[Codigo_BEX],[@Codigo_Activo],TablaMovimientos[Tipo_Movimiento],"PERDIDA")</f>
      </c>
      <c r="K116" s="10">
        <f>IF(NOT(ISNUMBER([@Fecha_Ultima_Asignacion])),"",TODAY()-[@Fecha_Ultima_Asignacion])</f>
      </c>
      <c r="L116" s="7" t="inlineStr">
        <is>
          <t xml:space="preserve"/>
        </is>
      </c>
    </row>
    <row r="117">
      <c r="A117" s="7" t="inlineStr">
        <is>
          <t xml:space="preserve">BEX-2039</t>
        </is>
      </c>
      <c r="B117" s="7" t="inlineStr">
        <is>
          <t xml:space="preserve">NUEVA (BEX-2xxx)</t>
        </is>
      </c>
      <c r="C117" s="10" t="inlineStr">
        <is>
          <t xml:space="preserve">ASIGNADO</t>
        </is>
      </c>
      <c r="D117" s="7" t="inlineStr">
        <is>
          <t xml:space="preserve">CESAR OSCAR LAURA CHUYMA</t>
        </is>
      </c>
      <c r="E117" s="10">
        <f>IFERROR(_xlfn.XLOOKUP([@Responsable_Actual],TablaPersonal[Nombres_Apellidos],TablaPersonal[Telefono]),"POR REGISTRAR")</f>
      </c>
      <c r="F117" s="7" t="inlineStr">
        <is>
          <t xml:space="preserve">JOEL DAVID HUANCA HUANCA</t>
        </is>
      </c>
      <c r="G117" s="7" t="inlineStr">
        <is>
          <t xml:space="preserve">LA PAZ</t>
        </is>
      </c>
      <c r="H117" s="6">
        <f>IF(COUNTIFS(TablaMovimientos[Codigo_BEX],[@Codigo_Activo])=0,"",_xlfn.MAXIFS(TablaMovimientos[Fecha],TablaMovimientos[Codigo_BEX],[@Codigo_Activo]))</f>
      </c>
      <c r="I11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17" s="10">
        <f>COUNTIFS(TablaMovimientos[Codigo_BEX],[@Codigo_Activo],TablaMovimientos[Tipo_Movimiento],"PERDIDA")</f>
      </c>
      <c r="K117" s="10">
        <f>IF(NOT(ISNUMBER([@Fecha_Ultima_Asignacion])),"",TODAY()-[@Fecha_Ultima_Asignacion])</f>
      </c>
      <c r="L117" s="7" t="inlineStr">
        <is>
          <t xml:space="preserve"/>
        </is>
      </c>
    </row>
    <row r="118">
      <c r="A118" s="7" t="inlineStr">
        <is>
          <t xml:space="preserve">BEX-2040</t>
        </is>
      </c>
      <c r="B118" s="7" t="inlineStr">
        <is>
          <t xml:space="preserve">NUEVA (BEX-2xxx)</t>
        </is>
      </c>
      <c r="C118" s="10" t="inlineStr">
        <is>
          <t xml:space="preserve">ASIGNADO</t>
        </is>
      </c>
      <c r="D118" s="7" t="inlineStr">
        <is>
          <t xml:space="preserve">MILENKO ADRIANA ORDONEZ NUNEZ</t>
        </is>
      </c>
      <c r="E118" s="10">
        <f>IFERROR(_xlfn.XLOOKUP([@Responsable_Actual],TablaPersonal[Nombres_Apellidos],TablaPersonal[Telefono]),"POR REGISTRAR")</f>
      </c>
      <c r="F118" s="7" t="inlineStr">
        <is>
          <t xml:space="preserve">MILENKO ADRIANA ORDONEZ NUNEZ</t>
        </is>
      </c>
      <c r="G118" s="7" t="inlineStr">
        <is>
          <t xml:space="preserve">LA PAZ</t>
        </is>
      </c>
      <c r="H118" s="6">
        <f>IF(COUNTIFS(TablaMovimientos[Codigo_BEX],[@Codigo_Activo])=0,"",_xlfn.MAXIFS(TablaMovimientos[Fecha],TablaMovimientos[Codigo_BEX],[@Codigo_Activo]))</f>
      </c>
      <c r="I11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18" s="10">
        <f>COUNTIFS(TablaMovimientos[Codigo_BEX],[@Codigo_Activo],TablaMovimientos[Tipo_Movimiento],"PERDIDA")</f>
      </c>
      <c r="K118" s="10">
        <f>IF(NOT(ISNUMBER([@Fecha_Ultima_Asignacion])),"",TODAY()-[@Fecha_Ultima_Asignacion])</f>
      </c>
      <c r="L118" s="7" t="inlineStr">
        <is>
          <t xml:space="preserve"/>
        </is>
      </c>
    </row>
    <row r="119">
      <c r="A119" s="7" t="inlineStr">
        <is>
          <t xml:space="preserve">BEX-2041</t>
        </is>
      </c>
      <c r="B119" s="7" t="inlineStr">
        <is>
          <t xml:space="preserve">NUEVA (BEX-2xxx)</t>
        </is>
      </c>
      <c r="C119" s="10" t="inlineStr">
        <is>
          <t xml:space="preserve">ASIGNADO</t>
        </is>
      </c>
      <c r="D119" s="7" t="inlineStr">
        <is>
          <t xml:space="preserve">RUTH CELINA PONCE PACO</t>
        </is>
      </c>
      <c r="E119" s="10">
        <f>IFERROR(_xlfn.XLOOKUP([@Responsable_Actual],TablaPersonal[Nombres_Apellidos],TablaPersonal[Telefono]),"POR REGISTRAR")</f>
      </c>
      <c r="F119" s="7" t="inlineStr">
        <is>
          <t xml:space="preserve">MILENKO ADRIANA ORDONEZ NUNEZ</t>
        </is>
      </c>
      <c r="G119" s="7" t="inlineStr">
        <is>
          <t xml:space="preserve">LA PAZ</t>
        </is>
      </c>
      <c r="H119" s="6">
        <f>IF(COUNTIFS(TablaMovimientos[Codigo_BEX],[@Codigo_Activo])=0,"",_xlfn.MAXIFS(TablaMovimientos[Fecha],TablaMovimientos[Codigo_BEX],[@Codigo_Activo]))</f>
      </c>
      <c r="I11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19" s="10">
        <f>COUNTIFS(TablaMovimientos[Codigo_BEX],[@Codigo_Activo],TablaMovimientos[Tipo_Movimiento],"PERDIDA")</f>
      </c>
      <c r="K119" s="10">
        <f>IF(NOT(ISNUMBER([@Fecha_Ultima_Asignacion])),"",TODAY()-[@Fecha_Ultima_Asignacion])</f>
      </c>
      <c r="L119" s="7" t="inlineStr">
        <is>
          <t xml:space="preserve"/>
        </is>
      </c>
    </row>
    <row r="120">
      <c r="A120" s="7" t="inlineStr">
        <is>
          <t xml:space="preserve">BEX-2042</t>
        </is>
      </c>
      <c r="B120" s="7" t="inlineStr">
        <is>
          <t xml:space="preserve">NUEVA (BEX-2xxx)</t>
        </is>
      </c>
      <c r="C120" s="10" t="inlineStr">
        <is>
          <t xml:space="preserve">ASIGNADO</t>
        </is>
      </c>
      <c r="D120" s="7" t="inlineStr">
        <is>
          <t xml:space="preserve">SILVANA ASUNCION ORDONEZ NUNEZ</t>
        </is>
      </c>
      <c r="E120" s="10">
        <f>IFERROR(_xlfn.XLOOKUP([@Responsable_Actual],TablaPersonal[Nombres_Apellidos],TablaPersonal[Telefono]),"POR REGISTRAR")</f>
      </c>
      <c r="F120" s="7" t="inlineStr">
        <is>
          <t xml:space="preserve">MILENKO ADRIANA ORDONEZ NUNEZ</t>
        </is>
      </c>
      <c r="G120" s="7" t="inlineStr">
        <is>
          <t xml:space="preserve">LA PAZ</t>
        </is>
      </c>
      <c r="H120" s="6">
        <f>IF(COUNTIFS(TablaMovimientos[Codigo_BEX],[@Codigo_Activo])=0,"",_xlfn.MAXIFS(TablaMovimientos[Fecha],TablaMovimientos[Codigo_BEX],[@Codigo_Activo]))</f>
      </c>
      <c r="I12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20" s="10">
        <f>COUNTIFS(TablaMovimientos[Codigo_BEX],[@Codigo_Activo],TablaMovimientos[Tipo_Movimiento],"PERDIDA")</f>
      </c>
      <c r="K120" s="10">
        <f>IF(NOT(ISNUMBER([@Fecha_Ultima_Asignacion])),"",TODAY()-[@Fecha_Ultima_Asignacion])</f>
      </c>
      <c r="L120" s="7" t="inlineStr">
        <is>
          <t xml:space="preserve"/>
        </is>
      </c>
    </row>
    <row r="121">
      <c r="A121" s="7" t="inlineStr">
        <is>
          <t xml:space="preserve">BEX-2043</t>
        </is>
      </c>
      <c r="B121" s="7" t="inlineStr">
        <is>
          <t xml:space="preserve">NUEVA (BEX-2xxx)</t>
        </is>
      </c>
      <c r="C121" s="10" t="inlineStr">
        <is>
          <t xml:space="preserve">ASIGNADO</t>
        </is>
      </c>
      <c r="D121" s="7" t="inlineStr">
        <is>
          <t xml:space="preserve">ADILSON ALMANZA GOMEZ</t>
        </is>
      </c>
      <c r="E121" s="10">
        <f>IFERROR(_xlfn.XLOOKUP([@Responsable_Actual],TablaPersonal[Nombres_Apellidos],TablaPersonal[Telefono]),"POR REGISTRAR")</f>
      </c>
      <c r="F121" s="7" t="inlineStr">
        <is>
          <t xml:space="preserve">MIRIAM ROSA CHAMBI QUISPE</t>
        </is>
      </c>
      <c r="G121" s="7" t="inlineStr">
        <is>
          <t xml:space="preserve">ORURO</t>
        </is>
      </c>
      <c r="H121" s="6">
        <f>IF(COUNTIFS(TablaMovimientos[Codigo_BEX],[@Codigo_Activo])=0,"",_xlfn.MAXIFS(TablaMovimientos[Fecha],TablaMovimientos[Codigo_BEX],[@Codigo_Activo]))</f>
      </c>
      <c r="I12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21" s="10">
        <f>COUNTIFS(TablaMovimientos[Codigo_BEX],[@Codigo_Activo],TablaMovimientos[Tipo_Movimiento],"PERDIDA")</f>
      </c>
      <c r="K121" s="10">
        <f>IF(NOT(ISNUMBER([@Fecha_Ultima_Asignacion])),"",TODAY()-[@Fecha_Ultima_Asignacion])</f>
      </c>
      <c r="L121" s="7" t="inlineStr">
        <is>
          <t xml:space="preserve"/>
        </is>
      </c>
    </row>
    <row r="122">
      <c r="A122" s="7" t="inlineStr">
        <is>
          <t xml:space="preserve">BEX-2044</t>
        </is>
      </c>
      <c r="B122" s="7" t="inlineStr">
        <is>
          <t xml:space="preserve">NUEVA (BEX-2xxx)</t>
        </is>
      </c>
      <c r="C122" s="10" t="inlineStr">
        <is>
          <t xml:space="preserve">ASIGNADO</t>
        </is>
      </c>
      <c r="D122" s="7" t="inlineStr">
        <is>
          <t xml:space="preserve">ARACELI MARLENE TAPIA GUERRA</t>
        </is>
      </c>
      <c r="E122" s="10">
        <f>IFERROR(_xlfn.XLOOKUP([@Responsable_Actual],TablaPersonal[Nombres_Apellidos],TablaPersonal[Telefono]),"POR REGISTRAR")</f>
      </c>
      <c r="F122" s="7" t="inlineStr">
        <is>
          <t xml:space="preserve">MIRIAM ROSA CHAMBI QUISPE</t>
        </is>
      </c>
      <c r="G122" s="7" t="inlineStr">
        <is>
          <t xml:space="preserve">ORURO</t>
        </is>
      </c>
      <c r="H122" s="6">
        <f>IF(COUNTIFS(TablaMovimientos[Codigo_BEX],[@Codigo_Activo])=0,"",_xlfn.MAXIFS(TablaMovimientos[Fecha],TablaMovimientos[Codigo_BEX],[@Codigo_Activo]))</f>
      </c>
      <c r="I12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22" s="10">
        <f>COUNTIFS(TablaMovimientos[Codigo_BEX],[@Codigo_Activo],TablaMovimientos[Tipo_Movimiento],"PERDIDA")</f>
      </c>
      <c r="K122" s="10">
        <f>IF(NOT(ISNUMBER([@Fecha_Ultima_Asignacion])),"",TODAY()-[@Fecha_Ultima_Asignacion])</f>
      </c>
      <c r="L122" s="7" t="inlineStr">
        <is>
          <t xml:space="preserve"/>
        </is>
      </c>
    </row>
    <row r="123">
      <c r="A123" s="7" t="inlineStr">
        <is>
          <t xml:space="preserve">BEX-2045</t>
        </is>
      </c>
      <c r="B123" s="7" t="inlineStr">
        <is>
          <t xml:space="preserve">NUEVA (BEX-2xxx)</t>
        </is>
      </c>
      <c r="C123" s="10" t="inlineStr">
        <is>
          <t xml:space="preserve">ASIGNADO</t>
        </is>
      </c>
      <c r="D123" s="7" t="inlineStr">
        <is>
          <t xml:space="preserve">BRENDA XIMENA BARBA VACA</t>
        </is>
      </c>
      <c r="E123" s="10">
        <f>IFERROR(_xlfn.XLOOKUP([@Responsable_Actual],TablaPersonal[Nombres_Apellidos],TablaPersonal[Telefono]),"POR REGISTRAR")</f>
      </c>
      <c r="F123" s="7" t="inlineStr">
        <is>
          <t xml:space="preserve">BEATRIZ OVIEDO OVIEDO</t>
        </is>
      </c>
      <c r="G123" s="7" t="inlineStr">
        <is>
          <t xml:space="preserve">SANTA CRUZ</t>
        </is>
      </c>
      <c r="H123" s="6">
        <f>IF(COUNTIFS(TablaMovimientos[Codigo_BEX],[@Codigo_Activo])=0,"",_xlfn.MAXIFS(TablaMovimientos[Fecha],TablaMovimientos[Codigo_BEX],[@Codigo_Activo]))</f>
      </c>
      <c r="I12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23" s="10">
        <f>COUNTIFS(TablaMovimientos[Codigo_BEX],[@Codigo_Activo],TablaMovimientos[Tipo_Movimiento],"PERDIDA")</f>
      </c>
      <c r="K123" s="10">
        <f>IF(NOT(ISNUMBER([@Fecha_Ultima_Asignacion])),"",TODAY()-[@Fecha_Ultima_Asignacion])</f>
      </c>
      <c r="L123" s="7" t="inlineStr">
        <is>
          <t xml:space="preserve">Reposicion por perdida de credencial anterior</t>
        </is>
      </c>
    </row>
    <row r="124">
      <c r="A124" s="7" t="inlineStr">
        <is>
          <t xml:space="preserve">BEX-2046</t>
        </is>
      </c>
      <c r="B124" s="7" t="inlineStr">
        <is>
          <t xml:space="preserve">NUEVA (BEX-2xxx)</t>
        </is>
      </c>
      <c r="C124" s="10" t="inlineStr">
        <is>
          <t xml:space="preserve">ASIGNADO</t>
        </is>
      </c>
      <c r="D124" s="7" t="inlineStr">
        <is>
          <t xml:space="preserve">MARCO ANTONIO ESCOBAR ALVAREZ</t>
        </is>
      </c>
      <c r="E124" s="10">
        <f>IFERROR(_xlfn.XLOOKUP([@Responsable_Actual],TablaPersonal[Nombres_Apellidos],TablaPersonal[Telefono]),"POR REGISTRAR")</f>
      </c>
      <c r="F124" s="7" t="inlineStr">
        <is>
          <t xml:space="preserve">BEATRIZ OVIEDO OVIEDO</t>
        </is>
      </c>
      <c r="G124" s="7" t="inlineStr">
        <is>
          <t xml:space="preserve">SANTA CRUZ</t>
        </is>
      </c>
      <c r="H124" s="6">
        <f>IF(COUNTIFS(TablaMovimientos[Codigo_BEX],[@Codigo_Activo])=0,"",_xlfn.MAXIFS(TablaMovimientos[Fecha],TablaMovimientos[Codigo_BEX],[@Codigo_Activo]))</f>
      </c>
      <c r="I12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24" s="10">
        <f>COUNTIFS(TablaMovimientos[Codigo_BEX],[@Codigo_Activo],TablaMovimientos[Tipo_Movimiento],"PERDIDA")</f>
      </c>
      <c r="K124" s="10">
        <f>IF(NOT(ISNUMBER([@Fecha_Ultima_Asignacion])),"",TODAY()-[@Fecha_Ultima_Asignacion])</f>
      </c>
      <c r="L124" s="7" t="inlineStr">
        <is>
          <t xml:space="preserve">Reposicion - Perdio BEX-0518</t>
        </is>
      </c>
    </row>
    <row r="125">
      <c r="A125" s="7" t="inlineStr">
        <is>
          <t xml:space="preserve">BEX-2047</t>
        </is>
      </c>
      <c r="B125" s="7" t="inlineStr">
        <is>
          <t xml:space="preserve">NUEVA (BEX-2xxx)</t>
        </is>
      </c>
      <c r="C125" s="10" t="inlineStr">
        <is>
          <t xml:space="preserve">DISPONIBLE</t>
        </is>
      </c>
      <c r="D125" s="7" t="inlineStr">
        <is>
          <t xml:space="preserve">EN OFICINA</t>
        </is>
      </c>
      <c r="E125" s="10">
        <f>IFERROR(_xlfn.XLOOKUP([@Responsable_Actual],TablaPersonal[Nombres_Apellidos],TablaPersonal[Telefono]),"POR REGISTRAR")</f>
      </c>
      <c r="F125" s="7" t="inlineStr">
        <is>
          <t xml:space="preserve"/>
        </is>
      </c>
      <c r="G125" s="7" t="inlineStr">
        <is>
          <t xml:space="preserve">SANTA CRUZ</t>
        </is>
      </c>
      <c r="H125" s="6">
        <f>IF(COUNTIFS(TablaMovimientos[Codigo_BEX],[@Codigo_Activo])=0,"",_xlfn.MAXIFS(TablaMovimientos[Fecha],TablaMovimientos[Codigo_BEX],[@Codigo_Activo]))</f>
      </c>
      <c r="I12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25" s="10">
        <f>COUNTIFS(TablaMovimientos[Codigo_BEX],[@Codigo_Activo],TablaMovimientos[Tipo_Movimiento],"PERDIDA")</f>
      </c>
      <c r="K125" s="10">
        <f>IF(NOT(ISNUMBER([@Fecha_Ultima_Asignacion])),"",TODAY()-[@Fecha_Ultima_Asignacion])</f>
      </c>
      <c r="L125" s="7" t="inlineStr">
        <is>
          <t xml:space="preserve"/>
        </is>
      </c>
    </row>
    <row r="126">
      <c r="A126" s="7" t="inlineStr">
        <is>
          <t xml:space="preserve">BEX-2048</t>
        </is>
      </c>
      <c r="B126" s="7" t="inlineStr">
        <is>
          <t xml:space="preserve">NUEVA (BEX-2xxx)</t>
        </is>
      </c>
      <c r="C126" s="10" t="inlineStr">
        <is>
          <t xml:space="preserve">DISPONIBLE</t>
        </is>
      </c>
      <c r="D126" s="7" t="inlineStr">
        <is>
          <t xml:space="preserve">EN OFICINA</t>
        </is>
      </c>
      <c r="E126" s="10">
        <f>IFERROR(_xlfn.XLOOKUP([@Responsable_Actual],TablaPersonal[Nombres_Apellidos],TablaPersonal[Telefono]),"POR REGISTRAR")</f>
      </c>
      <c r="F126" s="7" t="inlineStr">
        <is>
          <t xml:space="preserve"/>
        </is>
      </c>
      <c r="G126" s="7" t="inlineStr">
        <is>
          <t xml:space="preserve">SANTA CRUZ</t>
        </is>
      </c>
      <c r="H126" s="6">
        <f>IF(COUNTIFS(TablaMovimientos[Codigo_BEX],[@Codigo_Activo])=0,"",_xlfn.MAXIFS(TablaMovimientos[Fecha],TablaMovimientos[Codigo_BEX],[@Codigo_Activo]))</f>
      </c>
      <c r="I12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26" s="10">
        <f>COUNTIFS(TablaMovimientos[Codigo_BEX],[@Codigo_Activo],TablaMovimientos[Tipo_Movimiento],"PERDIDA")</f>
      </c>
      <c r="K126" s="10">
        <f>IF(NOT(ISNUMBER([@Fecha_Ultima_Asignacion])),"",TODAY()-[@Fecha_Ultima_Asignacion])</f>
      </c>
      <c r="L126" s="7" t="inlineStr">
        <is>
          <t xml:space="preserve"/>
        </is>
      </c>
    </row>
    <row r="127">
      <c r="A127" s="7" t="inlineStr">
        <is>
          <t xml:space="preserve">BEX-2049</t>
        </is>
      </c>
      <c r="B127" s="7" t="inlineStr">
        <is>
          <t xml:space="preserve">NUEVA (BEX-2xxx)</t>
        </is>
      </c>
      <c r="C127" s="10" t="inlineStr">
        <is>
          <t xml:space="preserve">DISPONIBLE</t>
        </is>
      </c>
      <c r="D127" s="7" t="inlineStr">
        <is>
          <t xml:space="preserve">EN OFICINA</t>
        </is>
      </c>
      <c r="E127" s="10">
        <f>IFERROR(_xlfn.XLOOKUP([@Responsable_Actual],TablaPersonal[Nombres_Apellidos],TablaPersonal[Telefono]),"POR REGISTRAR")</f>
      </c>
      <c r="F127" s="7" t="inlineStr">
        <is>
          <t xml:space="preserve"/>
        </is>
      </c>
      <c r="G127" s="7" t="inlineStr">
        <is>
          <t xml:space="preserve">SANTA CRUZ</t>
        </is>
      </c>
      <c r="H127" s="6">
        <f>IF(COUNTIFS(TablaMovimientos[Codigo_BEX],[@Codigo_Activo])=0,"",_xlfn.MAXIFS(TablaMovimientos[Fecha],TablaMovimientos[Codigo_BEX],[@Codigo_Activo]))</f>
      </c>
      <c r="I12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27" s="10">
        <f>COUNTIFS(TablaMovimientos[Codigo_BEX],[@Codigo_Activo],TablaMovimientos[Tipo_Movimiento],"PERDIDA")</f>
      </c>
      <c r="K127" s="10">
        <f>IF(NOT(ISNUMBER([@Fecha_Ultima_Asignacion])),"",TODAY()-[@Fecha_Ultima_Asignacion])</f>
      </c>
      <c r="L127" s="7" t="inlineStr">
        <is>
          <t xml:space="preserve"/>
        </is>
      </c>
    </row>
    <row r="128">
      <c r="A128" s="7" t="inlineStr">
        <is>
          <t xml:space="preserve">BEX-2050</t>
        </is>
      </c>
      <c r="B128" s="7" t="inlineStr">
        <is>
          <t xml:space="preserve">NUEVA (BEX-2xxx)</t>
        </is>
      </c>
      <c r="C128" s="10" t="inlineStr">
        <is>
          <t xml:space="preserve">DISPONIBLE</t>
        </is>
      </c>
      <c r="D128" s="7" t="inlineStr">
        <is>
          <t xml:space="preserve">EN OFICINA</t>
        </is>
      </c>
      <c r="E128" s="10">
        <f>IFERROR(_xlfn.XLOOKUP([@Responsable_Actual],TablaPersonal[Nombres_Apellidos],TablaPersonal[Telefono]),"POR REGISTRAR")</f>
      </c>
      <c r="F128" s="7" t="inlineStr">
        <is>
          <t xml:space="preserve"/>
        </is>
      </c>
      <c r="G128" s="7" t="inlineStr">
        <is>
          <t xml:space="preserve">SANTA CRUZ</t>
        </is>
      </c>
      <c r="H128" s="6">
        <f>IF(COUNTIFS(TablaMovimientos[Codigo_BEX],[@Codigo_Activo])=0,"",_xlfn.MAXIFS(TablaMovimientos[Fecha],TablaMovimientos[Codigo_BEX],[@Codigo_Activo]))</f>
      </c>
      <c r="I12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28" s="10">
        <f>COUNTIFS(TablaMovimientos[Codigo_BEX],[@Codigo_Activo],TablaMovimientos[Tipo_Movimiento],"PERDIDA")</f>
      </c>
      <c r="K128" s="10">
        <f>IF(NOT(ISNUMBER([@Fecha_Ultima_Asignacion])),"",TODAY()-[@Fecha_Ultima_Asignacion])</f>
      </c>
      <c r="L128" s="7" t="inlineStr">
        <is>
          <t xml:space="preserve"/>
        </is>
      </c>
    </row>
    <row r="129">
      <c r="A129" s="7" t="inlineStr">
        <is>
          <t xml:space="preserve">BEX-2051</t>
        </is>
      </c>
      <c r="B129" s="7" t="inlineStr">
        <is>
          <t xml:space="preserve">NUEVA (BEX-2xxx)</t>
        </is>
      </c>
      <c r="C129" s="10" t="inlineStr">
        <is>
          <t xml:space="preserve">DISPONIBLE</t>
        </is>
      </c>
      <c r="D129" s="7" t="inlineStr">
        <is>
          <t xml:space="preserve">EN OFICINA</t>
        </is>
      </c>
      <c r="E129" s="10">
        <f>IFERROR(_xlfn.XLOOKUP([@Responsable_Actual],TablaPersonal[Nombres_Apellidos],TablaPersonal[Telefono]),"POR REGISTRAR")</f>
      </c>
      <c r="F129" s="7" t="inlineStr">
        <is>
          <t xml:space="preserve"/>
        </is>
      </c>
      <c r="G129" s="7" t="inlineStr">
        <is>
          <t xml:space="preserve">SANTA CRUZ</t>
        </is>
      </c>
      <c r="H129" s="6">
        <f>IF(COUNTIFS(TablaMovimientos[Codigo_BEX],[@Codigo_Activo])=0,"",_xlfn.MAXIFS(TablaMovimientos[Fecha],TablaMovimientos[Codigo_BEX],[@Codigo_Activo]))</f>
      </c>
      <c r="I12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29" s="10">
        <f>COUNTIFS(TablaMovimientos[Codigo_BEX],[@Codigo_Activo],TablaMovimientos[Tipo_Movimiento],"PERDIDA")</f>
      </c>
      <c r="K129" s="10">
        <f>IF(NOT(ISNUMBER([@Fecha_Ultima_Asignacion])),"",TODAY()-[@Fecha_Ultima_Asignacion])</f>
      </c>
      <c r="L129" s="7" t="inlineStr">
        <is>
          <t xml:space="preserve">Stock en oficina - recepcionado</t>
        </is>
      </c>
    </row>
    <row r="130">
      <c r="A130" s="7" t="inlineStr">
        <is>
          <t xml:space="preserve">BEX-2052</t>
        </is>
      </c>
      <c r="B130" s="7" t="inlineStr">
        <is>
          <t xml:space="preserve">NUEVA (BEX-2xxx)</t>
        </is>
      </c>
      <c r="C130" s="10" t="inlineStr">
        <is>
          <t xml:space="preserve">DISPONIBLE</t>
        </is>
      </c>
      <c r="D130" s="7" t="inlineStr">
        <is>
          <t xml:space="preserve">EN OFICINA</t>
        </is>
      </c>
      <c r="E130" s="10">
        <f>IFERROR(_xlfn.XLOOKUP([@Responsable_Actual],TablaPersonal[Nombres_Apellidos],TablaPersonal[Telefono]),"POR REGISTRAR")</f>
      </c>
      <c r="F130" s="7" t="inlineStr">
        <is>
          <t xml:space="preserve"/>
        </is>
      </c>
      <c r="G130" s="7" t="inlineStr">
        <is>
          <t xml:space="preserve">SANTA CRUZ</t>
        </is>
      </c>
      <c r="H130" s="6">
        <f>IF(COUNTIFS(TablaMovimientos[Codigo_BEX],[@Codigo_Activo])=0,"",_xlfn.MAXIFS(TablaMovimientos[Fecha],TablaMovimientos[Codigo_BEX],[@Codigo_Activo]))</f>
      </c>
      <c r="I13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30" s="10">
        <f>COUNTIFS(TablaMovimientos[Codigo_BEX],[@Codigo_Activo],TablaMovimientos[Tipo_Movimiento],"PERDIDA")</f>
      </c>
      <c r="K130" s="10">
        <f>IF(NOT(ISNUMBER([@Fecha_Ultima_Asignacion])),"",TODAY()-[@Fecha_Ultima_Asignacion])</f>
      </c>
      <c r="L130" s="7" t="inlineStr">
        <is>
          <t xml:space="preserve">Stock en oficina - recepcionado</t>
        </is>
      </c>
    </row>
    <row r="131">
      <c r="A131" s="7" t="inlineStr">
        <is>
          <t xml:space="preserve">BEX-2053</t>
        </is>
      </c>
      <c r="B131" s="7" t="inlineStr">
        <is>
          <t xml:space="preserve">NUEVA (BEX-2xxx)</t>
        </is>
      </c>
      <c r="C131" s="10" t="inlineStr">
        <is>
          <t xml:space="preserve">DISPONIBLE</t>
        </is>
      </c>
      <c r="D131" s="7" t="inlineStr">
        <is>
          <t xml:space="preserve">EN OFICINA</t>
        </is>
      </c>
      <c r="E131" s="10">
        <f>IFERROR(_xlfn.XLOOKUP([@Responsable_Actual],TablaPersonal[Nombres_Apellidos],TablaPersonal[Telefono]),"POR REGISTRAR")</f>
      </c>
      <c r="F131" s="7" t="inlineStr">
        <is>
          <t xml:space="preserve"/>
        </is>
      </c>
      <c r="G131" s="7" t="inlineStr">
        <is>
          <t xml:space="preserve">SANTA CRUZ</t>
        </is>
      </c>
      <c r="H131" s="6">
        <f>IF(COUNTIFS(TablaMovimientos[Codigo_BEX],[@Codigo_Activo])=0,"",_xlfn.MAXIFS(TablaMovimientos[Fecha],TablaMovimientos[Codigo_BEX],[@Codigo_Activo]))</f>
      </c>
      <c r="I13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31" s="10">
        <f>COUNTIFS(TablaMovimientos[Codigo_BEX],[@Codigo_Activo],TablaMovimientos[Tipo_Movimiento],"PERDIDA")</f>
      </c>
      <c r="K131" s="10">
        <f>IF(NOT(ISNUMBER([@Fecha_Ultima_Asignacion])),"",TODAY()-[@Fecha_Ultima_Asignacion])</f>
      </c>
      <c r="L131" s="7" t="inlineStr">
        <is>
          <t xml:space="preserve">Stock en oficina - recepcionado</t>
        </is>
      </c>
    </row>
    <row r="132">
      <c r="A132" s="7" t="inlineStr">
        <is>
          <t xml:space="preserve">BEX-2054</t>
        </is>
      </c>
      <c r="B132" s="7" t="inlineStr">
        <is>
          <t xml:space="preserve">NUEVA (BEX-2xxx)</t>
        </is>
      </c>
      <c r="C132" s="10" t="inlineStr">
        <is>
          <t xml:space="preserve">DISPONIBLE</t>
        </is>
      </c>
      <c r="D132" s="7" t="inlineStr">
        <is>
          <t xml:space="preserve">EN OFICINA</t>
        </is>
      </c>
      <c r="E132" s="10">
        <f>IFERROR(_xlfn.XLOOKUP([@Responsable_Actual],TablaPersonal[Nombres_Apellidos],TablaPersonal[Telefono]),"POR REGISTRAR")</f>
      </c>
      <c r="F132" s="7" t="inlineStr">
        <is>
          <t xml:space="preserve"/>
        </is>
      </c>
      <c r="G132" s="7" t="inlineStr">
        <is>
          <t xml:space="preserve">SANTA CRUZ</t>
        </is>
      </c>
      <c r="H132" s="6">
        <f>IF(COUNTIFS(TablaMovimientos[Codigo_BEX],[@Codigo_Activo])=0,"",_xlfn.MAXIFS(TablaMovimientos[Fecha],TablaMovimientos[Codigo_BEX],[@Codigo_Activo]))</f>
      </c>
      <c r="I13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32" s="10">
        <f>COUNTIFS(TablaMovimientos[Codigo_BEX],[@Codigo_Activo],TablaMovimientos[Tipo_Movimiento],"PERDIDA")</f>
      </c>
      <c r="K132" s="10">
        <f>IF(NOT(ISNUMBER([@Fecha_Ultima_Asignacion])),"",TODAY()-[@Fecha_Ultima_Asignacion])</f>
      </c>
      <c r="L132" s="7" t="inlineStr">
        <is>
          <t xml:space="preserve">Stock en oficina - recepcionado</t>
        </is>
      </c>
    </row>
    <row r="133">
      <c r="A133" s="7" t="inlineStr">
        <is>
          <t xml:space="preserve">BEX-2055</t>
        </is>
      </c>
      <c r="B133" s="7" t="inlineStr">
        <is>
          <t xml:space="preserve">NUEVA (BEX-2xxx)</t>
        </is>
      </c>
      <c r="C133" s="10" t="inlineStr">
        <is>
          <t xml:space="preserve">DISPONIBLE</t>
        </is>
      </c>
      <c r="D133" s="7" t="inlineStr">
        <is>
          <t xml:space="preserve">EN OFICINA</t>
        </is>
      </c>
      <c r="E133" s="10">
        <f>IFERROR(_xlfn.XLOOKUP([@Responsable_Actual],TablaPersonal[Nombres_Apellidos],TablaPersonal[Telefono]),"POR REGISTRAR")</f>
      </c>
      <c r="F133" s="7" t="inlineStr">
        <is>
          <t xml:space="preserve"/>
        </is>
      </c>
      <c r="G133" s="7" t="inlineStr">
        <is>
          <t xml:space="preserve">SANTA CRUZ</t>
        </is>
      </c>
      <c r="H133" s="6">
        <f>IF(COUNTIFS(TablaMovimientos[Codigo_BEX],[@Codigo_Activo])=0,"",_xlfn.MAXIFS(TablaMovimientos[Fecha],TablaMovimientos[Codigo_BEX],[@Codigo_Activo]))</f>
      </c>
      <c r="I13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33" s="10">
        <f>COUNTIFS(TablaMovimientos[Codigo_BEX],[@Codigo_Activo],TablaMovimientos[Tipo_Movimiento],"PERDIDA")</f>
      </c>
      <c r="K133" s="10">
        <f>IF(NOT(ISNUMBER([@Fecha_Ultima_Asignacion])),"",TODAY()-[@Fecha_Ultima_Asignacion])</f>
      </c>
      <c r="L133" s="7" t="inlineStr">
        <is>
          <t xml:space="preserve">Stock en oficina - recepcionado</t>
        </is>
      </c>
    </row>
    <row r="134">
      <c r="A134" s="7" t="inlineStr">
        <is>
          <t xml:space="preserve">BEX-2056</t>
        </is>
      </c>
      <c r="B134" s="7" t="inlineStr">
        <is>
          <t xml:space="preserve">NUEVA (BEX-2xxx)</t>
        </is>
      </c>
      <c r="C134" s="10" t="inlineStr">
        <is>
          <t xml:space="preserve">DISPONIBLE</t>
        </is>
      </c>
      <c r="D134" s="7" t="inlineStr">
        <is>
          <t xml:space="preserve">EN OFICINA</t>
        </is>
      </c>
      <c r="E134" s="10">
        <f>IFERROR(_xlfn.XLOOKUP([@Responsable_Actual],TablaPersonal[Nombres_Apellidos],TablaPersonal[Telefono]),"POR REGISTRAR")</f>
      </c>
      <c r="F134" s="7" t="inlineStr">
        <is>
          <t xml:space="preserve"/>
        </is>
      </c>
      <c r="G134" s="7" t="inlineStr">
        <is>
          <t xml:space="preserve">SANTA CRUZ</t>
        </is>
      </c>
      <c r="H134" s="6">
        <f>IF(COUNTIFS(TablaMovimientos[Codigo_BEX],[@Codigo_Activo])=0,"",_xlfn.MAXIFS(TablaMovimientos[Fecha],TablaMovimientos[Codigo_BEX],[@Codigo_Activo]))</f>
      </c>
      <c r="I13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34" s="10">
        <f>COUNTIFS(TablaMovimientos[Codigo_BEX],[@Codigo_Activo],TablaMovimientos[Tipo_Movimiento],"PERDIDA")</f>
      </c>
      <c r="K134" s="10">
        <f>IF(NOT(ISNUMBER([@Fecha_Ultima_Asignacion])),"",TODAY()-[@Fecha_Ultima_Asignacion])</f>
      </c>
      <c r="L134" s="7" t="inlineStr">
        <is>
          <t xml:space="preserve">Stock en oficina - recepcionado</t>
        </is>
      </c>
    </row>
    <row r="135">
      <c r="A135" s="7" t="inlineStr">
        <is>
          <t xml:space="preserve">BEX-2057</t>
        </is>
      </c>
      <c r="B135" s="7" t="inlineStr">
        <is>
          <t xml:space="preserve">NUEVA (BEX-2xxx)</t>
        </is>
      </c>
      <c r="C135" s="10" t="inlineStr">
        <is>
          <t xml:space="preserve">DISPONIBLE</t>
        </is>
      </c>
      <c r="D135" s="7" t="inlineStr">
        <is>
          <t xml:space="preserve">EN OFICINA</t>
        </is>
      </c>
      <c r="E135" s="10">
        <f>IFERROR(_xlfn.XLOOKUP([@Responsable_Actual],TablaPersonal[Nombres_Apellidos],TablaPersonal[Telefono]),"POR REGISTRAR")</f>
      </c>
      <c r="F135" s="7" t="inlineStr">
        <is>
          <t xml:space="preserve"/>
        </is>
      </c>
      <c r="G135" s="7" t="inlineStr">
        <is>
          <t xml:space="preserve">SANTA CRUZ</t>
        </is>
      </c>
      <c r="H135" s="6">
        <f>IF(COUNTIFS(TablaMovimientos[Codigo_BEX],[@Codigo_Activo])=0,"",_xlfn.MAXIFS(TablaMovimientos[Fecha],TablaMovimientos[Codigo_BEX],[@Codigo_Activo]))</f>
      </c>
      <c r="I13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35" s="10">
        <f>COUNTIFS(TablaMovimientos[Codigo_BEX],[@Codigo_Activo],TablaMovimientos[Tipo_Movimiento],"PERDIDA")</f>
      </c>
      <c r="K135" s="10">
        <f>IF(NOT(ISNUMBER([@Fecha_Ultima_Asignacion])),"",TODAY()-[@Fecha_Ultima_Asignacion])</f>
      </c>
      <c r="L135" s="7" t="inlineStr">
        <is>
          <t xml:space="preserve">Stock en oficina - recepcionado</t>
        </is>
      </c>
    </row>
    <row r="136">
      <c r="A136" s="7" t="inlineStr">
        <is>
          <t xml:space="preserve">BEX-2058</t>
        </is>
      </c>
      <c r="B136" s="7" t="inlineStr">
        <is>
          <t xml:space="preserve">NUEVA (BEX-2xxx)</t>
        </is>
      </c>
      <c r="C136" s="10" t="inlineStr">
        <is>
          <t xml:space="preserve">DISPONIBLE</t>
        </is>
      </c>
      <c r="D136" s="7" t="inlineStr">
        <is>
          <t xml:space="preserve">EN OFICINA</t>
        </is>
      </c>
      <c r="E136" s="10">
        <f>IFERROR(_xlfn.XLOOKUP([@Responsable_Actual],TablaPersonal[Nombres_Apellidos],TablaPersonal[Telefono]),"POR REGISTRAR")</f>
      </c>
      <c r="F136" s="7" t="inlineStr">
        <is>
          <t xml:space="preserve"/>
        </is>
      </c>
      <c r="G136" s="7" t="inlineStr">
        <is>
          <t xml:space="preserve">SANTA CRUZ</t>
        </is>
      </c>
      <c r="H136" s="6">
        <f>IF(COUNTIFS(TablaMovimientos[Codigo_BEX],[@Codigo_Activo])=0,"",_xlfn.MAXIFS(TablaMovimientos[Fecha],TablaMovimientos[Codigo_BEX],[@Codigo_Activo]))</f>
      </c>
      <c r="I13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36" s="10">
        <f>COUNTIFS(TablaMovimientos[Codigo_BEX],[@Codigo_Activo],TablaMovimientos[Tipo_Movimiento],"PERDIDA")</f>
      </c>
      <c r="K136" s="10">
        <f>IF(NOT(ISNUMBER([@Fecha_Ultima_Asignacion])),"",TODAY()-[@Fecha_Ultima_Asignacion])</f>
      </c>
      <c r="L136" s="7" t="inlineStr">
        <is>
          <t xml:space="preserve">Stock en oficina - recepcionado</t>
        </is>
      </c>
    </row>
    <row r="137">
      <c r="A137" s="7" t="inlineStr">
        <is>
          <t xml:space="preserve">BEX-2059</t>
        </is>
      </c>
      <c r="B137" s="7" t="inlineStr">
        <is>
          <t xml:space="preserve">NUEVA (BEX-2xxx)</t>
        </is>
      </c>
      <c r="C137" s="10" t="inlineStr">
        <is>
          <t xml:space="preserve">DISPONIBLE</t>
        </is>
      </c>
      <c r="D137" s="7" t="inlineStr">
        <is>
          <t xml:space="preserve">EN OFICINA</t>
        </is>
      </c>
      <c r="E137" s="10">
        <f>IFERROR(_xlfn.XLOOKUP([@Responsable_Actual],TablaPersonal[Nombres_Apellidos],TablaPersonal[Telefono]),"POR REGISTRAR")</f>
      </c>
      <c r="F137" s="7" t="inlineStr">
        <is>
          <t xml:space="preserve"/>
        </is>
      </c>
      <c r="G137" s="7" t="inlineStr">
        <is>
          <t xml:space="preserve">SANTA CRUZ</t>
        </is>
      </c>
      <c r="H137" s="6">
        <f>IF(COUNTIFS(TablaMovimientos[Codigo_BEX],[@Codigo_Activo])=0,"",_xlfn.MAXIFS(TablaMovimientos[Fecha],TablaMovimientos[Codigo_BEX],[@Codigo_Activo]))</f>
      </c>
      <c r="I13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37" s="10">
        <f>COUNTIFS(TablaMovimientos[Codigo_BEX],[@Codigo_Activo],TablaMovimientos[Tipo_Movimiento],"PERDIDA")</f>
      </c>
      <c r="K137" s="10">
        <f>IF(NOT(ISNUMBER([@Fecha_Ultima_Asignacion])),"",TODAY()-[@Fecha_Ultima_Asignacion])</f>
      </c>
      <c r="L137" s="7" t="inlineStr">
        <is>
          <t xml:space="preserve">Stock en oficina - recepcionado</t>
        </is>
      </c>
    </row>
    <row r="138">
      <c r="A138" s="7" t="inlineStr">
        <is>
          <t xml:space="preserve">BEX-2060</t>
        </is>
      </c>
      <c r="B138" s="7" t="inlineStr">
        <is>
          <t xml:space="preserve">NUEVA (BEX-2xxx)</t>
        </is>
      </c>
      <c r="C138" s="10" t="inlineStr">
        <is>
          <t xml:space="preserve">DISPONIBLE</t>
        </is>
      </c>
      <c r="D138" s="7" t="inlineStr">
        <is>
          <t xml:space="preserve">EN OFICINA</t>
        </is>
      </c>
      <c r="E138" s="10">
        <f>IFERROR(_xlfn.XLOOKUP([@Responsable_Actual],TablaPersonal[Nombres_Apellidos],TablaPersonal[Telefono]),"POR REGISTRAR")</f>
      </c>
      <c r="F138" s="7" t="inlineStr">
        <is>
          <t xml:space="preserve"/>
        </is>
      </c>
      <c r="G138" s="7" t="inlineStr">
        <is>
          <t xml:space="preserve">SANTA CRUZ</t>
        </is>
      </c>
      <c r="H138" s="6">
        <f>IF(COUNTIFS(TablaMovimientos[Codigo_BEX],[@Codigo_Activo])=0,"",_xlfn.MAXIFS(TablaMovimientos[Fecha],TablaMovimientos[Codigo_BEX],[@Codigo_Activo]))</f>
      </c>
      <c r="I13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38" s="10">
        <f>COUNTIFS(TablaMovimientos[Codigo_BEX],[@Codigo_Activo],TablaMovimientos[Tipo_Movimiento],"PERDIDA")</f>
      </c>
      <c r="K138" s="10">
        <f>IF(NOT(ISNUMBER([@Fecha_Ultima_Asignacion])),"",TODAY()-[@Fecha_Ultima_Asignacion])</f>
      </c>
      <c r="L138" s="7" t="inlineStr">
        <is>
          <t xml:space="preserve">Stock en oficina - recepcionado</t>
        </is>
      </c>
    </row>
    <row r="139">
      <c r="A139" s="7" t="inlineStr">
        <is>
          <t xml:space="preserve">BEX-2061</t>
        </is>
      </c>
      <c r="B139" s="7" t="inlineStr">
        <is>
          <t xml:space="preserve">NUEVA (BEX-2xxx)</t>
        </is>
      </c>
      <c r="C139" s="10" t="inlineStr">
        <is>
          <t xml:space="preserve">DISPONIBLE</t>
        </is>
      </c>
      <c r="D139" s="7" t="inlineStr">
        <is>
          <t xml:space="preserve">EN OFICINA</t>
        </is>
      </c>
      <c r="E139" s="10">
        <f>IFERROR(_xlfn.XLOOKUP([@Responsable_Actual],TablaPersonal[Nombres_Apellidos],TablaPersonal[Telefono]),"POR REGISTRAR")</f>
      </c>
      <c r="F139" s="7" t="inlineStr">
        <is>
          <t xml:space="preserve"/>
        </is>
      </c>
      <c r="G139" s="7" t="inlineStr">
        <is>
          <t xml:space="preserve">SANTA CRUZ</t>
        </is>
      </c>
      <c r="H139" s="6">
        <f>IF(COUNTIFS(TablaMovimientos[Codigo_BEX],[@Codigo_Activo])=0,"",_xlfn.MAXIFS(TablaMovimientos[Fecha],TablaMovimientos[Codigo_BEX],[@Codigo_Activo]))</f>
      </c>
      <c r="I13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39" s="10">
        <f>COUNTIFS(TablaMovimientos[Codigo_BEX],[@Codigo_Activo],TablaMovimientos[Tipo_Movimiento],"PERDIDA")</f>
      </c>
      <c r="K139" s="10">
        <f>IF(NOT(ISNUMBER([@Fecha_Ultima_Asignacion])),"",TODAY()-[@Fecha_Ultima_Asignacion])</f>
      </c>
      <c r="L139" s="7" t="inlineStr">
        <is>
          <t xml:space="preserve">Stock en oficina - recepcionado</t>
        </is>
      </c>
    </row>
    <row r="140">
      <c r="A140" s="7" t="inlineStr">
        <is>
          <t xml:space="preserve">BEX-2062</t>
        </is>
      </c>
      <c r="B140" s="7" t="inlineStr">
        <is>
          <t xml:space="preserve">NUEVA (BEX-2xxx)</t>
        </is>
      </c>
      <c r="C140" s="10" t="inlineStr">
        <is>
          <t xml:space="preserve">DISPONIBLE</t>
        </is>
      </c>
      <c r="D140" s="7" t="inlineStr">
        <is>
          <t xml:space="preserve">EN OFICINA</t>
        </is>
      </c>
      <c r="E140" s="10">
        <f>IFERROR(_xlfn.XLOOKUP([@Responsable_Actual],TablaPersonal[Nombres_Apellidos],TablaPersonal[Telefono]),"POR REGISTRAR")</f>
      </c>
      <c r="F140" s="7" t="inlineStr">
        <is>
          <t xml:space="preserve"/>
        </is>
      </c>
      <c r="G140" s="7" t="inlineStr">
        <is>
          <t xml:space="preserve">SANTA CRUZ</t>
        </is>
      </c>
      <c r="H140" s="6">
        <f>IF(COUNTIFS(TablaMovimientos[Codigo_BEX],[@Codigo_Activo])=0,"",_xlfn.MAXIFS(TablaMovimientos[Fecha],TablaMovimientos[Codigo_BEX],[@Codigo_Activo]))</f>
      </c>
      <c r="I14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40" s="10">
        <f>COUNTIFS(TablaMovimientos[Codigo_BEX],[@Codigo_Activo],TablaMovimientos[Tipo_Movimiento],"PERDIDA")</f>
      </c>
      <c r="K140" s="10">
        <f>IF(NOT(ISNUMBER([@Fecha_Ultima_Asignacion])),"",TODAY()-[@Fecha_Ultima_Asignacion])</f>
      </c>
      <c r="L140" s="7" t="inlineStr">
        <is>
          <t xml:space="preserve">Stock en oficina - recepcionado</t>
        </is>
      </c>
    </row>
    <row r="141">
      <c r="A141" s="7" t="inlineStr">
        <is>
          <t xml:space="preserve">BEX-2063</t>
        </is>
      </c>
      <c r="B141" s="7" t="inlineStr">
        <is>
          <t xml:space="preserve">NUEVA (BEX-2xxx)</t>
        </is>
      </c>
      <c r="C141" s="10" t="inlineStr">
        <is>
          <t xml:space="preserve">DISPONIBLE</t>
        </is>
      </c>
      <c r="D141" s="7" t="inlineStr">
        <is>
          <t xml:space="preserve">EN OFICINA</t>
        </is>
      </c>
      <c r="E141" s="10">
        <f>IFERROR(_xlfn.XLOOKUP([@Responsable_Actual],TablaPersonal[Nombres_Apellidos],TablaPersonal[Telefono]),"POR REGISTRAR")</f>
      </c>
      <c r="F141" s="7" t="inlineStr">
        <is>
          <t xml:space="preserve"/>
        </is>
      </c>
      <c r="G141" s="7" t="inlineStr">
        <is>
          <t xml:space="preserve">SANTA CRUZ</t>
        </is>
      </c>
      <c r="H141" s="6">
        <f>IF(COUNTIFS(TablaMovimientos[Codigo_BEX],[@Codigo_Activo])=0,"",_xlfn.MAXIFS(TablaMovimientos[Fecha],TablaMovimientos[Codigo_BEX],[@Codigo_Activo]))</f>
      </c>
      <c r="I14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41" s="10">
        <f>COUNTIFS(TablaMovimientos[Codigo_BEX],[@Codigo_Activo],TablaMovimientos[Tipo_Movimiento],"PERDIDA")</f>
      </c>
      <c r="K141" s="10">
        <f>IF(NOT(ISNUMBER([@Fecha_Ultima_Asignacion])),"",TODAY()-[@Fecha_Ultima_Asignacion])</f>
      </c>
      <c r="L141" s="7" t="inlineStr">
        <is>
          <t xml:space="preserve">Stock en oficina - recepcionado</t>
        </is>
      </c>
    </row>
    <row r="142">
      <c r="A142" s="7" t="inlineStr">
        <is>
          <t xml:space="preserve">BEX-2064</t>
        </is>
      </c>
      <c r="B142" s="7" t="inlineStr">
        <is>
          <t xml:space="preserve">NUEVA (BEX-2xxx)</t>
        </is>
      </c>
      <c r="C142" s="10" t="inlineStr">
        <is>
          <t xml:space="preserve">DISPONIBLE</t>
        </is>
      </c>
      <c r="D142" s="7" t="inlineStr">
        <is>
          <t xml:space="preserve">EN OFICINA</t>
        </is>
      </c>
      <c r="E142" s="10">
        <f>IFERROR(_xlfn.XLOOKUP([@Responsable_Actual],TablaPersonal[Nombres_Apellidos],TablaPersonal[Telefono]),"POR REGISTRAR")</f>
      </c>
      <c r="F142" s="7" t="inlineStr">
        <is>
          <t xml:space="preserve"/>
        </is>
      </c>
      <c r="G142" s="7" t="inlineStr">
        <is>
          <t xml:space="preserve">SANTA CRUZ</t>
        </is>
      </c>
      <c r="H142" s="6">
        <f>IF(COUNTIFS(TablaMovimientos[Codigo_BEX],[@Codigo_Activo])=0,"",_xlfn.MAXIFS(TablaMovimientos[Fecha],TablaMovimientos[Codigo_BEX],[@Codigo_Activo]))</f>
      </c>
      <c r="I14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42" s="10">
        <f>COUNTIFS(TablaMovimientos[Codigo_BEX],[@Codigo_Activo],TablaMovimientos[Tipo_Movimiento],"PERDIDA")</f>
      </c>
      <c r="K142" s="10">
        <f>IF(NOT(ISNUMBER([@Fecha_Ultima_Asignacion])),"",TODAY()-[@Fecha_Ultima_Asignacion])</f>
      </c>
      <c r="L142" s="7" t="inlineStr">
        <is>
          <t xml:space="preserve">Stock en oficina - recepcionado</t>
        </is>
      </c>
    </row>
    <row r="143">
      <c r="A143" s="7" t="inlineStr">
        <is>
          <t xml:space="preserve">BEX-2065</t>
        </is>
      </c>
      <c r="B143" s="7" t="inlineStr">
        <is>
          <t xml:space="preserve">NUEVA (BEX-2xxx)</t>
        </is>
      </c>
      <c r="C143" s="10" t="inlineStr">
        <is>
          <t xml:space="preserve">DISPONIBLE</t>
        </is>
      </c>
      <c r="D143" s="7" t="inlineStr">
        <is>
          <t xml:space="preserve">EN OFICINA</t>
        </is>
      </c>
      <c r="E143" s="10">
        <f>IFERROR(_xlfn.XLOOKUP([@Responsable_Actual],TablaPersonal[Nombres_Apellidos],TablaPersonal[Telefono]),"POR REGISTRAR")</f>
      </c>
      <c r="F143" s="7" t="inlineStr">
        <is>
          <t xml:space="preserve"/>
        </is>
      </c>
      <c r="G143" s="7" t="inlineStr">
        <is>
          <t xml:space="preserve">SANTA CRUZ</t>
        </is>
      </c>
      <c r="H143" s="6">
        <f>IF(COUNTIFS(TablaMovimientos[Codigo_BEX],[@Codigo_Activo])=0,"",_xlfn.MAXIFS(TablaMovimientos[Fecha],TablaMovimientos[Codigo_BEX],[@Codigo_Activo]))</f>
      </c>
      <c r="I14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43" s="10">
        <f>COUNTIFS(TablaMovimientos[Codigo_BEX],[@Codigo_Activo],TablaMovimientos[Tipo_Movimiento],"PERDIDA")</f>
      </c>
      <c r="K143" s="10">
        <f>IF(NOT(ISNUMBER([@Fecha_Ultima_Asignacion])),"",TODAY()-[@Fecha_Ultima_Asignacion])</f>
      </c>
      <c r="L143" s="7" t="inlineStr">
        <is>
          <t xml:space="preserve">Stock en oficina - recepcionado</t>
        </is>
      </c>
    </row>
    <row r="144">
      <c r="A144" s="7" t="inlineStr">
        <is>
          <t xml:space="preserve">BEX-2066</t>
        </is>
      </c>
      <c r="B144" s="7" t="inlineStr">
        <is>
          <t xml:space="preserve">NUEVA (BEX-2xxx)</t>
        </is>
      </c>
      <c r="C144" s="10" t="inlineStr">
        <is>
          <t xml:space="preserve">DISPONIBLE</t>
        </is>
      </c>
      <c r="D144" s="7" t="inlineStr">
        <is>
          <t xml:space="preserve">EN OFICINA</t>
        </is>
      </c>
      <c r="E144" s="10">
        <f>IFERROR(_xlfn.XLOOKUP([@Responsable_Actual],TablaPersonal[Nombres_Apellidos],TablaPersonal[Telefono]),"POR REGISTRAR")</f>
      </c>
      <c r="F144" s="7" t="inlineStr">
        <is>
          <t xml:space="preserve"/>
        </is>
      </c>
      <c r="G144" s="7" t="inlineStr">
        <is>
          <t xml:space="preserve">SANTA CRUZ</t>
        </is>
      </c>
      <c r="H144" s="6">
        <f>IF(COUNTIFS(TablaMovimientos[Codigo_BEX],[@Codigo_Activo])=0,"",_xlfn.MAXIFS(TablaMovimientos[Fecha],TablaMovimientos[Codigo_BEX],[@Codigo_Activo]))</f>
      </c>
      <c r="I14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44" s="10">
        <f>COUNTIFS(TablaMovimientos[Codigo_BEX],[@Codigo_Activo],TablaMovimientos[Tipo_Movimiento],"PERDIDA")</f>
      </c>
      <c r="K144" s="10">
        <f>IF(NOT(ISNUMBER([@Fecha_Ultima_Asignacion])),"",TODAY()-[@Fecha_Ultima_Asignacion])</f>
      </c>
      <c r="L144" s="7" t="inlineStr">
        <is>
          <t xml:space="preserve">Stock en oficina - recepcionado</t>
        </is>
      </c>
    </row>
    <row r="145">
      <c r="A145" s="7" t="inlineStr">
        <is>
          <t xml:space="preserve">BEX-2067</t>
        </is>
      </c>
      <c r="B145" s="7" t="inlineStr">
        <is>
          <t xml:space="preserve">NUEVA (BEX-2xxx)</t>
        </is>
      </c>
      <c r="C145" s="10" t="inlineStr">
        <is>
          <t xml:space="preserve">DISPONIBLE</t>
        </is>
      </c>
      <c r="D145" s="7" t="inlineStr">
        <is>
          <t xml:space="preserve">EN OFICINA</t>
        </is>
      </c>
      <c r="E145" s="10">
        <f>IFERROR(_xlfn.XLOOKUP([@Responsable_Actual],TablaPersonal[Nombres_Apellidos],TablaPersonal[Telefono]),"POR REGISTRAR")</f>
      </c>
      <c r="F145" s="7" t="inlineStr">
        <is>
          <t xml:space="preserve"/>
        </is>
      </c>
      <c r="G145" s="7" t="inlineStr">
        <is>
          <t xml:space="preserve">SANTA CRUZ</t>
        </is>
      </c>
      <c r="H145" s="6">
        <f>IF(COUNTIFS(TablaMovimientos[Codigo_BEX],[@Codigo_Activo])=0,"",_xlfn.MAXIFS(TablaMovimientos[Fecha],TablaMovimientos[Codigo_BEX],[@Codigo_Activo]))</f>
      </c>
      <c r="I14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45" s="10">
        <f>COUNTIFS(TablaMovimientos[Codigo_BEX],[@Codigo_Activo],TablaMovimientos[Tipo_Movimiento],"PERDIDA")</f>
      </c>
      <c r="K145" s="10">
        <f>IF(NOT(ISNUMBER([@Fecha_Ultima_Asignacion])),"",TODAY()-[@Fecha_Ultima_Asignacion])</f>
      </c>
      <c r="L145" s="7" t="inlineStr">
        <is>
          <t xml:space="preserve">Stock en oficina - recepcionado</t>
        </is>
      </c>
    </row>
    <row r="146">
      <c r="A146" s="7" t="inlineStr">
        <is>
          <t xml:space="preserve">BEX-2068</t>
        </is>
      </c>
      <c r="B146" s="7" t="inlineStr">
        <is>
          <t xml:space="preserve">NUEVA (BEX-2xxx)</t>
        </is>
      </c>
      <c r="C146" s="10" t="inlineStr">
        <is>
          <t xml:space="preserve">DISPONIBLE</t>
        </is>
      </c>
      <c r="D146" s="7" t="inlineStr">
        <is>
          <t xml:space="preserve">EN OFICINA</t>
        </is>
      </c>
      <c r="E146" s="10">
        <f>IFERROR(_xlfn.XLOOKUP([@Responsable_Actual],TablaPersonal[Nombres_Apellidos],TablaPersonal[Telefono]),"POR REGISTRAR")</f>
      </c>
      <c r="F146" s="7" t="inlineStr">
        <is>
          <t xml:space="preserve"/>
        </is>
      </c>
      <c r="G146" s="7" t="inlineStr">
        <is>
          <t xml:space="preserve">SANTA CRUZ</t>
        </is>
      </c>
      <c r="H146" s="6">
        <f>IF(COUNTIFS(TablaMovimientos[Codigo_BEX],[@Codigo_Activo])=0,"",_xlfn.MAXIFS(TablaMovimientos[Fecha],TablaMovimientos[Codigo_BEX],[@Codigo_Activo]))</f>
      </c>
      <c r="I14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46" s="10">
        <f>COUNTIFS(TablaMovimientos[Codigo_BEX],[@Codigo_Activo],TablaMovimientos[Tipo_Movimiento],"PERDIDA")</f>
      </c>
      <c r="K146" s="10">
        <f>IF(NOT(ISNUMBER([@Fecha_Ultima_Asignacion])),"",TODAY()-[@Fecha_Ultima_Asignacion])</f>
      </c>
      <c r="L146" s="7" t="inlineStr">
        <is>
          <t xml:space="preserve">Stock en oficina - recepcionado</t>
        </is>
      </c>
    </row>
    <row r="147">
      <c r="A147" s="7" t="inlineStr">
        <is>
          <t xml:space="preserve">BEX-2069</t>
        </is>
      </c>
      <c r="B147" s="7" t="inlineStr">
        <is>
          <t xml:space="preserve">NUEVA (BEX-2xxx)</t>
        </is>
      </c>
      <c r="C147" s="10" t="inlineStr">
        <is>
          <t xml:space="preserve">DISPONIBLE</t>
        </is>
      </c>
      <c r="D147" s="7" t="inlineStr">
        <is>
          <t xml:space="preserve">EN OFICINA</t>
        </is>
      </c>
      <c r="E147" s="10">
        <f>IFERROR(_xlfn.XLOOKUP([@Responsable_Actual],TablaPersonal[Nombres_Apellidos],TablaPersonal[Telefono]),"POR REGISTRAR")</f>
      </c>
      <c r="F147" s="7" t="inlineStr">
        <is>
          <t xml:space="preserve"/>
        </is>
      </c>
      <c r="G147" s="7" t="inlineStr">
        <is>
          <t xml:space="preserve">SANTA CRUZ</t>
        </is>
      </c>
      <c r="H147" s="6">
        <f>IF(COUNTIFS(TablaMovimientos[Codigo_BEX],[@Codigo_Activo])=0,"",_xlfn.MAXIFS(TablaMovimientos[Fecha],TablaMovimientos[Codigo_BEX],[@Codigo_Activo]))</f>
      </c>
      <c r="I14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47" s="10">
        <f>COUNTIFS(TablaMovimientos[Codigo_BEX],[@Codigo_Activo],TablaMovimientos[Tipo_Movimiento],"PERDIDA")</f>
      </c>
      <c r="K147" s="10">
        <f>IF(NOT(ISNUMBER([@Fecha_Ultima_Asignacion])),"",TODAY()-[@Fecha_Ultima_Asignacion])</f>
      </c>
      <c r="L147" s="7" t="inlineStr">
        <is>
          <t xml:space="preserve">Stock en oficina - recepcionado</t>
        </is>
      </c>
    </row>
    <row r="148">
      <c r="A148" s="7" t="inlineStr">
        <is>
          <t xml:space="preserve">BEX-2070</t>
        </is>
      </c>
      <c r="B148" s="7" t="inlineStr">
        <is>
          <t xml:space="preserve">NUEVA (BEX-2xxx)</t>
        </is>
      </c>
      <c r="C148" s="10" t="inlineStr">
        <is>
          <t xml:space="preserve">DISPONIBLE</t>
        </is>
      </c>
      <c r="D148" s="7" t="inlineStr">
        <is>
          <t xml:space="preserve">EN OFICINA</t>
        </is>
      </c>
      <c r="E148" s="10">
        <f>IFERROR(_xlfn.XLOOKUP([@Responsable_Actual],TablaPersonal[Nombres_Apellidos],TablaPersonal[Telefono]),"POR REGISTRAR")</f>
      </c>
      <c r="F148" s="7" t="inlineStr">
        <is>
          <t xml:space="preserve"/>
        </is>
      </c>
      <c r="G148" s="7" t="inlineStr">
        <is>
          <t xml:space="preserve">SANTA CRUZ</t>
        </is>
      </c>
      <c r="H148" s="6">
        <f>IF(COUNTIFS(TablaMovimientos[Codigo_BEX],[@Codigo_Activo])=0,"",_xlfn.MAXIFS(TablaMovimientos[Fecha],TablaMovimientos[Codigo_BEX],[@Codigo_Activo]))</f>
      </c>
      <c r="I14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48" s="10">
        <f>COUNTIFS(TablaMovimientos[Codigo_BEX],[@Codigo_Activo],TablaMovimientos[Tipo_Movimiento],"PERDIDA")</f>
      </c>
      <c r="K148" s="10">
        <f>IF(NOT(ISNUMBER([@Fecha_Ultima_Asignacion])),"",TODAY()-[@Fecha_Ultima_Asignacion])</f>
      </c>
      <c r="L148" s="7" t="inlineStr">
        <is>
          <t xml:space="preserve">Stock en oficina - recepcionado</t>
        </is>
      </c>
    </row>
    <row r="149">
      <c r="A149" s="7" t="inlineStr">
        <is>
          <t xml:space="preserve">BEX-2071</t>
        </is>
      </c>
      <c r="B149" s="7" t="inlineStr">
        <is>
          <t xml:space="preserve">NUEVA (BEX-2xxx)</t>
        </is>
      </c>
      <c r="C149" s="10" t="inlineStr">
        <is>
          <t xml:space="preserve">DISPONIBLE</t>
        </is>
      </c>
      <c r="D149" s="7" t="inlineStr">
        <is>
          <t xml:space="preserve">EN OFICINA</t>
        </is>
      </c>
      <c r="E149" s="10">
        <f>IFERROR(_xlfn.XLOOKUP([@Responsable_Actual],TablaPersonal[Nombres_Apellidos],TablaPersonal[Telefono]),"POR REGISTRAR")</f>
      </c>
      <c r="F149" s="7" t="inlineStr">
        <is>
          <t xml:space="preserve"/>
        </is>
      </c>
      <c r="G149" s="7" t="inlineStr">
        <is>
          <t xml:space="preserve">SANTA CRUZ</t>
        </is>
      </c>
      <c r="H149" s="6">
        <f>IF(COUNTIFS(TablaMovimientos[Codigo_BEX],[@Codigo_Activo])=0,"",_xlfn.MAXIFS(TablaMovimientos[Fecha],TablaMovimientos[Codigo_BEX],[@Codigo_Activo]))</f>
      </c>
      <c r="I14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49" s="10">
        <f>COUNTIFS(TablaMovimientos[Codigo_BEX],[@Codigo_Activo],TablaMovimientos[Tipo_Movimiento],"PERDIDA")</f>
      </c>
      <c r="K149" s="10">
        <f>IF(NOT(ISNUMBER([@Fecha_Ultima_Asignacion])),"",TODAY()-[@Fecha_Ultima_Asignacion])</f>
      </c>
      <c r="L149" s="7" t="inlineStr">
        <is>
          <t xml:space="preserve">Stock en oficina - recepcionado</t>
        </is>
      </c>
    </row>
    <row r="150">
      <c r="A150" s="7" t="inlineStr">
        <is>
          <t xml:space="preserve">BEX-2072</t>
        </is>
      </c>
      <c r="B150" s="7" t="inlineStr">
        <is>
          <t xml:space="preserve">NUEVA (BEX-2xxx)</t>
        </is>
      </c>
      <c r="C150" s="10" t="inlineStr">
        <is>
          <t xml:space="preserve">DISPONIBLE</t>
        </is>
      </c>
      <c r="D150" s="7" t="inlineStr">
        <is>
          <t xml:space="preserve">EN OFICINA</t>
        </is>
      </c>
      <c r="E150" s="10">
        <f>IFERROR(_xlfn.XLOOKUP([@Responsable_Actual],TablaPersonal[Nombres_Apellidos],TablaPersonal[Telefono]),"POR REGISTRAR")</f>
      </c>
      <c r="F150" s="7" t="inlineStr">
        <is>
          <t xml:space="preserve"/>
        </is>
      </c>
      <c r="G150" s="7" t="inlineStr">
        <is>
          <t xml:space="preserve">SANTA CRUZ</t>
        </is>
      </c>
      <c r="H150" s="6">
        <f>IF(COUNTIFS(TablaMovimientos[Codigo_BEX],[@Codigo_Activo])=0,"",_xlfn.MAXIFS(TablaMovimientos[Fecha],TablaMovimientos[Codigo_BEX],[@Codigo_Activo]))</f>
      </c>
      <c r="I15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50" s="10">
        <f>COUNTIFS(TablaMovimientos[Codigo_BEX],[@Codigo_Activo],TablaMovimientos[Tipo_Movimiento],"PERDIDA")</f>
      </c>
      <c r="K150" s="10">
        <f>IF(NOT(ISNUMBER([@Fecha_Ultima_Asignacion])),"",TODAY()-[@Fecha_Ultima_Asignacion])</f>
      </c>
      <c r="L150" s="7" t="inlineStr">
        <is>
          <t xml:space="preserve">Stock en oficina - recepcionado</t>
        </is>
      </c>
    </row>
    <row r="151">
      <c r="A151" s="7" t="inlineStr">
        <is>
          <t xml:space="preserve">BEX-2073</t>
        </is>
      </c>
      <c r="B151" s="7" t="inlineStr">
        <is>
          <t xml:space="preserve">NUEVA (BEX-2xxx)</t>
        </is>
      </c>
      <c r="C151" s="10" t="inlineStr">
        <is>
          <t xml:space="preserve">DISPONIBLE</t>
        </is>
      </c>
      <c r="D151" s="7" t="inlineStr">
        <is>
          <t xml:space="preserve">EN OFICINA</t>
        </is>
      </c>
      <c r="E151" s="10">
        <f>IFERROR(_xlfn.XLOOKUP([@Responsable_Actual],TablaPersonal[Nombres_Apellidos],TablaPersonal[Telefono]),"POR REGISTRAR")</f>
      </c>
      <c r="F151" s="7" t="inlineStr">
        <is>
          <t xml:space="preserve"/>
        </is>
      </c>
      <c r="G151" s="7" t="inlineStr">
        <is>
          <t xml:space="preserve">SANTA CRUZ</t>
        </is>
      </c>
      <c r="H151" s="6">
        <f>IF(COUNTIFS(TablaMovimientos[Codigo_BEX],[@Codigo_Activo])=0,"",_xlfn.MAXIFS(TablaMovimientos[Fecha],TablaMovimientos[Codigo_BEX],[@Codigo_Activo]))</f>
      </c>
      <c r="I15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51" s="10">
        <f>COUNTIFS(TablaMovimientos[Codigo_BEX],[@Codigo_Activo],TablaMovimientos[Tipo_Movimiento],"PERDIDA")</f>
      </c>
      <c r="K151" s="10">
        <f>IF(NOT(ISNUMBER([@Fecha_Ultima_Asignacion])),"",TODAY()-[@Fecha_Ultima_Asignacion])</f>
      </c>
      <c r="L151" s="7" t="inlineStr">
        <is>
          <t xml:space="preserve">Stock en oficina - recepcionado</t>
        </is>
      </c>
    </row>
    <row r="152">
      <c r="A152" s="7" t="inlineStr">
        <is>
          <t xml:space="preserve">BEX-2074</t>
        </is>
      </c>
      <c r="B152" s="7" t="inlineStr">
        <is>
          <t xml:space="preserve">NUEVA (BEX-2xxx)</t>
        </is>
      </c>
      <c r="C152" s="10" t="inlineStr">
        <is>
          <t xml:space="preserve">DISPONIBLE</t>
        </is>
      </c>
      <c r="D152" s="7" t="inlineStr">
        <is>
          <t xml:space="preserve">EN OFICINA</t>
        </is>
      </c>
      <c r="E152" s="10">
        <f>IFERROR(_xlfn.XLOOKUP([@Responsable_Actual],TablaPersonal[Nombres_Apellidos],TablaPersonal[Telefono]),"POR REGISTRAR")</f>
      </c>
      <c r="F152" s="7" t="inlineStr">
        <is>
          <t xml:space="preserve"/>
        </is>
      </c>
      <c r="G152" s="7" t="inlineStr">
        <is>
          <t xml:space="preserve">SANTA CRUZ</t>
        </is>
      </c>
      <c r="H152" s="6">
        <f>IF(COUNTIFS(TablaMovimientos[Codigo_BEX],[@Codigo_Activo])=0,"",_xlfn.MAXIFS(TablaMovimientos[Fecha],TablaMovimientos[Codigo_BEX],[@Codigo_Activo]))</f>
      </c>
      <c r="I15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52" s="10">
        <f>COUNTIFS(TablaMovimientos[Codigo_BEX],[@Codigo_Activo],TablaMovimientos[Tipo_Movimiento],"PERDIDA")</f>
      </c>
      <c r="K152" s="10">
        <f>IF(NOT(ISNUMBER([@Fecha_Ultima_Asignacion])),"",TODAY()-[@Fecha_Ultima_Asignacion])</f>
      </c>
      <c r="L152" s="7" t="inlineStr">
        <is>
          <t xml:space="preserve">Stock en oficina - recepcionado</t>
        </is>
      </c>
    </row>
    <row r="153">
      <c r="A153" s="7" t="inlineStr">
        <is>
          <t xml:space="preserve">BEX-2075</t>
        </is>
      </c>
      <c r="B153" s="7" t="inlineStr">
        <is>
          <t xml:space="preserve">NUEVA (BEX-2xxx)</t>
        </is>
      </c>
      <c r="C153" s="10" t="inlineStr">
        <is>
          <t xml:space="preserve">DISPONIBLE</t>
        </is>
      </c>
      <c r="D153" s="7" t="inlineStr">
        <is>
          <t xml:space="preserve">EN OFICINA</t>
        </is>
      </c>
      <c r="E153" s="10">
        <f>IFERROR(_xlfn.XLOOKUP([@Responsable_Actual],TablaPersonal[Nombres_Apellidos],TablaPersonal[Telefono]),"POR REGISTRAR")</f>
      </c>
      <c r="F153" s="7" t="inlineStr">
        <is>
          <t xml:space="preserve"/>
        </is>
      </c>
      <c r="G153" s="7" t="inlineStr">
        <is>
          <t xml:space="preserve">SANTA CRUZ</t>
        </is>
      </c>
      <c r="H153" s="6">
        <f>IF(COUNTIFS(TablaMovimientos[Codigo_BEX],[@Codigo_Activo])=0,"",_xlfn.MAXIFS(TablaMovimientos[Fecha],TablaMovimientos[Codigo_BEX],[@Codigo_Activo]))</f>
      </c>
      <c r="I15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53" s="10">
        <f>COUNTIFS(TablaMovimientos[Codigo_BEX],[@Codigo_Activo],TablaMovimientos[Tipo_Movimiento],"PERDIDA")</f>
      </c>
      <c r="K153" s="10">
        <f>IF(NOT(ISNUMBER([@Fecha_Ultima_Asignacion])),"",TODAY()-[@Fecha_Ultima_Asignacion])</f>
      </c>
      <c r="L153" s="7" t="inlineStr">
        <is>
          <t xml:space="preserve">Stock en oficina - recepcionado</t>
        </is>
      </c>
    </row>
    <row r="154">
      <c r="A154" s="7" t="inlineStr">
        <is>
          <t xml:space="preserve">BEX-2076</t>
        </is>
      </c>
      <c r="B154" s="7" t="inlineStr">
        <is>
          <t xml:space="preserve">NUEVA (BEX-2xxx)</t>
        </is>
      </c>
      <c r="C154" s="10" t="inlineStr">
        <is>
          <t xml:space="preserve">DISPONIBLE</t>
        </is>
      </c>
      <c r="D154" s="7" t="inlineStr">
        <is>
          <t xml:space="preserve">EN OFICINA</t>
        </is>
      </c>
      <c r="E154" s="10">
        <f>IFERROR(_xlfn.XLOOKUP([@Responsable_Actual],TablaPersonal[Nombres_Apellidos],TablaPersonal[Telefono]),"POR REGISTRAR")</f>
      </c>
      <c r="F154" s="7" t="inlineStr">
        <is>
          <t xml:space="preserve"/>
        </is>
      </c>
      <c r="G154" s="7" t="inlineStr">
        <is>
          <t xml:space="preserve">SANTA CRUZ</t>
        </is>
      </c>
      <c r="H154" s="6">
        <f>IF(COUNTIFS(TablaMovimientos[Codigo_BEX],[@Codigo_Activo])=0,"",_xlfn.MAXIFS(TablaMovimientos[Fecha],TablaMovimientos[Codigo_BEX],[@Codigo_Activo]))</f>
      </c>
      <c r="I15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54" s="10">
        <f>COUNTIFS(TablaMovimientos[Codigo_BEX],[@Codigo_Activo],TablaMovimientos[Tipo_Movimiento],"PERDIDA")</f>
      </c>
      <c r="K154" s="10">
        <f>IF(NOT(ISNUMBER([@Fecha_Ultima_Asignacion])),"",TODAY()-[@Fecha_Ultima_Asignacion])</f>
      </c>
      <c r="L154" s="7" t="inlineStr">
        <is>
          <t xml:space="preserve">Stock en oficina - recepcionado</t>
        </is>
      </c>
    </row>
    <row r="155">
      <c r="A155" s="7" t="inlineStr">
        <is>
          <t xml:space="preserve">BEX-2077</t>
        </is>
      </c>
      <c r="B155" s="7" t="inlineStr">
        <is>
          <t xml:space="preserve">NUEVA (BEX-2xxx)</t>
        </is>
      </c>
      <c r="C155" s="10" t="inlineStr">
        <is>
          <t xml:space="preserve">DISPONIBLE</t>
        </is>
      </c>
      <c r="D155" s="7" t="inlineStr">
        <is>
          <t xml:space="preserve">EN OFICINA</t>
        </is>
      </c>
      <c r="E155" s="10">
        <f>IFERROR(_xlfn.XLOOKUP([@Responsable_Actual],TablaPersonal[Nombres_Apellidos],TablaPersonal[Telefono]),"POR REGISTRAR")</f>
      </c>
      <c r="F155" s="7" t="inlineStr">
        <is>
          <t xml:space="preserve"/>
        </is>
      </c>
      <c r="G155" s="7" t="inlineStr">
        <is>
          <t xml:space="preserve">SANTA CRUZ</t>
        </is>
      </c>
      <c r="H155" s="6">
        <f>IF(COUNTIFS(TablaMovimientos[Codigo_BEX],[@Codigo_Activo])=0,"",_xlfn.MAXIFS(TablaMovimientos[Fecha],TablaMovimientos[Codigo_BEX],[@Codigo_Activo]))</f>
      </c>
      <c r="I15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55" s="10">
        <f>COUNTIFS(TablaMovimientos[Codigo_BEX],[@Codigo_Activo],TablaMovimientos[Tipo_Movimiento],"PERDIDA")</f>
      </c>
      <c r="K155" s="10">
        <f>IF(NOT(ISNUMBER([@Fecha_Ultima_Asignacion])),"",TODAY()-[@Fecha_Ultima_Asignacion])</f>
      </c>
      <c r="L155" s="7" t="inlineStr">
        <is>
          <t xml:space="preserve">Stock en oficina - recepcionado</t>
        </is>
      </c>
    </row>
    <row r="156">
      <c r="A156" s="7" t="inlineStr">
        <is>
          <t xml:space="preserve">BEX-2078</t>
        </is>
      </c>
      <c r="B156" s="7" t="inlineStr">
        <is>
          <t xml:space="preserve">NUEVA (BEX-2xxx)</t>
        </is>
      </c>
      <c r="C156" s="10" t="inlineStr">
        <is>
          <t xml:space="preserve">DISPONIBLE</t>
        </is>
      </c>
      <c r="D156" s="7" t="inlineStr">
        <is>
          <t xml:space="preserve">EN OFICINA</t>
        </is>
      </c>
      <c r="E156" s="10">
        <f>IFERROR(_xlfn.XLOOKUP([@Responsable_Actual],TablaPersonal[Nombres_Apellidos],TablaPersonal[Telefono]),"POR REGISTRAR")</f>
      </c>
      <c r="F156" s="7" t="inlineStr">
        <is>
          <t xml:space="preserve"/>
        </is>
      </c>
      <c r="G156" s="7" t="inlineStr">
        <is>
          <t xml:space="preserve">SANTA CRUZ</t>
        </is>
      </c>
      <c r="H156" s="6">
        <f>IF(COUNTIFS(TablaMovimientos[Codigo_BEX],[@Codigo_Activo])=0,"",_xlfn.MAXIFS(TablaMovimientos[Fecha],TablaMovimientos[Codigo_BEX],[@Codigo_Activo]))</f>
      </c>
      <c r="I15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56" s="10">
        <f>COUNTIFS(TablaMovimientos[Codigo_BEX],[@Codigo_Activo],TablaMovimientos[Tipo_Movimiento],"PERDIDA")</f>
      </c>
      <c r="K156" s="10">
        <f>IF(NOT(ISNUMBER([@Fecha_Ultima_Asignacion])),"",TODAY()-[@Fecha_Ultima_Asignacion])</f>
      </c>
      <c r="L156" s="7" t="inlineStr">
        <is>
          <t xml:space="preserve">Stock en oficina - recepcionado</t>
        </is>
      </c>
    </row>
    <row r="157">
      <c r="A157" s="7" t="inlineStr">
        <is>
          <t xml:space="preserve">BEX-2079</t>
        </is>
      </c>
      <c r="B157" s="7" t="inlineStr">
        <is>
          <t xml:space="preserve">NUEVA (BEX-2xxx)</t>
        </is>
      </c>
      <c r="C157" s="10" t="inlineStr">
        <is>
          <t xml:space="preserve">DISPONIBLE</t>
        </is>
      </c>
      <c r="D157" s="7" t="inlineStr">
        <is>
          <t xml:space="preserve">EN OFICINA</t>
        </is>
      </c>
      <c r="E157" s="10">
        <f>IFERROR(_xlfn.XLOOKUP([@Responsable_Actual],TablaPersonal[Nombres_Apellidos],TablaPersonal[Telefono]),"POR REGISTRAR")</f>
      </c>
      <c r="F157" s="7" t="inlineStr">
        <is>
          <t xml:space="preserve"/>
        </is>
      </c>
      <c r="G157" s="7" t="inlineStr">
        <is>
          <t xml:space="preserve">SANTA CRUZ</t>
        </is>
      </c>
      <c r="H157" s="6">
        <f>IF(COUNTIFS(TablaMovimientos[Codigo_BEX],[@Codigo_Activo])=0,"",_xlfn.MAXIFS(TablaMovimientos[Fecha],TablaMovimientos[Codigo_BEX],[@Codigo_Activo]))</f>
      </c>
      <c r="I15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57" s="10">
        <f>COUNTIFS(TablaMovimientos[Codigo_BEX],[@Codigo_Activo],TablaMovimientos[Tipo_Movimiento],"PERDIDA")</f>
      </c>
      <c r="K157" s="10">
        <f>IF(NOT(ISNUMBER([@Fecha_Ultima_Asignacion])),"",TODAY()-[@Fecha_Ultima_Asignacion])</f>
      </c>
      <c r="L157" s="7" t="inlineStr">
        <is>
          <t xml:space="preserve">Stock en oficina - recepcionado</t>
        </is>
      </c>
    </row>
    <row r="158">
      <c r="A158" s="7" t="inlineStr">
        <is>
          <t xml:space="preserve">BEX-2080</t>
        </is>
      </c>
      <c r="B158" s="7" t="inlineStr">
        <is>
          <t xml:space="preserve">NUEVA (BEX-2xxx)</t>
        </is>
      </c>
      <c r="C158" s="10" t="inlineStr">
        <is>
          <t xml:space="preserve">DISPONIBLE</t>
        </is>
      </c>
      <c r="D158" s="7" t="inlineStr">
        <is>
          <t xml:space="preserve">EN OFICINA</t>
        </is>
      </c>
      <c r="E158" s="10">
        <f>IFERROR(_xlfn.XLOOKUP([@Responsable_Actual],TablaPersonal[Nombres_Apellidos],TablaPersonal[Telefono]),"POR REGISTRAR")</f>
      </c>
      <c r="F158" s="7" t="inlineStr">
        <is>
          <t xml:space="preserve"/>
        </is>
      </c>
      <c r="G158" s="7" t="inlineStr">
        <is>
          <t xml:space="preserve">SANTA CRUZ</t>
        </is>
      </c>
      <c r="H158" s="6">
        <f>IF(COUNTIFS(TablaMovimientos[Codigo_BEX],[@Codigo_Activo])=0,"",_xlfn.MAXIFS(TablaMovimientos[Fecha],TablaMovimientos[Codigo_BEX],[@Codigo_Activo]))</f>
      </c>
      <c r="I15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58" s="10">
        <f>COUNTIFS(TablaMovimientos[Codigo_BEX],[@Codigo_Activo],TablaMovimientos[Tipo_Movimiento],"PERDIDA")</f>
      </c>
      <c r="K158" s="10">
        <f>IF(NOT(ISNUMBER([@Fecha_Ultima_Asignacion])),"",TODAY()-[@Fecha_Ultima_Asignacion])</f>
      </c>
      <c r="L158" s="7" t="inlineStr">
        <is>
          <t xml:space="preserve">Stock en oficina - recepcionado</t>
        </is>
      </c>
    </row>
    <row r="159">
      <c r="A159" s="7" t="inlineStr">
        <is>
          <t xml:space="preserve">BEX-2081</t>
        </is>
      </c>
      <c r="B159" s="7" t="inlineStr">
        <is>
          <t xml:space="preserve">NUEVA (BEX-2xxx)</t>
        </is>
      </c>
      <c r="C159" s="10" t="inlineStr">
        <is>
          <t xml:space="preserve">DISPONIBLE</t>
        </is>
      </c>
      <c r="D159" s="7" t="inlineStr">
        <is>
          <t xml:space="preserve">EN OFICINA</t>
        </is>
      </c>
      <c r="E159" s="10">
        <f>IFERROR(_xlfn.XLOOKUP([@Responsable_Actual],TablaPersonal[Nombres_Apellidos],TablaPersonal[Telefono]),"POR REGISTRAR")</f>
      </c>
      <c r="F159" s="7" t="inlineStr">
        <is>
          <t xml:space="preserve"/>
        </is>
      </c>
      <c r="G159" s="7" t="inlineStr">
        <is>
          <t xml:space="preserve">SANTA CRUZ</t>
        </is>
      </c>
      <c r="H159" s="6">
        <f>IF(COUNTIFS(TablaMovimientos[Codigo_BEX],[@Codigo_Activo])=0,"",_xlfn.MAXIFS(TablaMovimientos[Fecha],TablaMovimientos[Codigo_BEX],[@Codigo_Activo]))</f>
      </c>
      <c r="I15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59" s="10">
        <f>COUNTIFS(TablaMovimientos[Codigo_BEX],[@Codigo_Activo],TablaMovimientos[Tipo_Movimiento],"PERDIDA")</f>
      </c>
      <c r="K159" s="10">
        <f>IF(NOT(ISNUMBER([@Fecha_Ultima_Asignacion])),"",TODAY()-[@Fecha_Ultima_Asignacion])</f>
      </c>
      <c r="L159" s="7" t="inlineStr">
        <is>
          <t xml:space="preserve">Stock en oficina - recepcionado</t>
        </is>
      </c>
    </row>
    <row r="160">
      <c r="A160" s="7" t="inlineStr">
        <is>
          <t xml:space="preserve">BEX-2082</t>
        </is>
      </c>
      <c r="B160" s="7" t="inlineStr">
        <is>
          <t xml:space="preserve">NUEVA (BEX-2xxx)</t>
        </is>
      </c>
      <c r="C160" s="10" t="inlineStr">
        <is>
          <t xml:space="preserve">DISPONIBLE</t>
        </is>
      </c>
      <c r="D160" s="7" t="inlineStr">
        <is>
          <t xml:space="preserve">EN OFICINA</t>
        </is>
      </c>
      <c r="E160" s="10">
        <f>IFERROR(_xlfn.XLOOKUP([@Responsable_Actual],TablaPersonal[Nombres_Apellidos],TablaPersonal[Telefono]),"POR REGISTRAR")</f>
      </c>
      <c r="F160" s="7" t="inlineStr">
        <is>
          <t xml:space="preserve"/>
        </is>
      </c>
      <c r="G160" s="7" t="inlineStr">
        <is>
          <t xml:space="preserve">SANTA CRUZ</t>
        </is>
      </c>
      <c r="H160" s="6">
        <f>IF(COUNTIFS(TablaMovimientos[Codigo_BEX],[@Codigo_Activo])=0,"",_xlfn.MAXIFS(TablaMovimientos[Fecha],TablaMovimientos[Codigo_BEX],[@Codigo_Activo]))</f>
      </c>
      <c r="I16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60" s="10">
        <f>COUNTIFS(TablaMovimientos[Codigo_BEX],[@Codigo_Activo],TablaMovimientos[Tipo_Movimiento],"PERDIDA")</f>
      </c>
      <c r="K160" s="10">
        <f>IF(NOT(ISNUMBER([@Fecha_Ultima_Asignacion])),"",TODAY()-[@Fecha_Ultima_Asignacion])</f>
      </c>
      <c r="L160" s="7" t="inlineStr">
        <is>
          <t xml:space="preserve">Stock en oficina - recepcionado</t>
        </is>
      </c>
    </row>
    <row r="161">
      <c r="A161" s="7" t="inlineStr">
        <is>
          <t xml:space="preserve">BEX-2083</t>
        </is>
      </c>
      <c r="B161" s="7" t="inlineStr">
        <is>
          <t xml:space="preserve">NUEVA (BEX-2xxx)</t>
        </is>
      </c>
      <c r="C161" s="10" t="inlineStr">
        <is>
          <t xml:space="preserve">DISPONIBLE</t>
        </is>
      </c>
      <c r="D161" s="7" t="inlineStr">
        <is>
          <t xml:space="preserve">EN OFICINA</t>
        </is>
      </c>
      <c r="E161" s="10">
        <f>IFERROR(_xlfn.XLOOKUP([@Responsable_Actual],TablaPersonal[Nombres_Apellidos],TablaPersonal[Telefono]),"POR REGISTRAR")</f>
      </c>
      <c r="F161" s="7" t="inlineStr">
        <is>
          <t xml:space="preserve"/>
        </is>
      </c>
      <c r="G161" s="7" t="inlineStr">
        <is>
          <t xml:space="preserve">SANTA CRUZ</t>
        </is>
      </c>
      <c r="H161" s="6">
        <f>IF(COUNTIFS(TablaMovimientos[Codigo_BEX],[@Codigo_Activo])=0,"",_xlfn.MAXIFS(TablaMovimientos[Fecha],TablaMovimientos[Codigo_BEX],[@Codigo_Activo]))</f>
      </c>
      <c r="I16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61" s="10">
        <f>COUNTIFS(TablaMovimientos[Codigo_BEX],[@Codigo_Activo],TablaMovimientos[Tipo_Movimiento],"PERDIDA")</f>
      </c>
      <c r="K161" s="10">
        <f>IF(NOT(ISNUMBER([@Fecha_Ultima_Asignacion])),"",TODAY()-[@Fecha_Ultima_Asignacion])</f>
      </c>
      <c r="L161" s="7" t="inlineStr">
        <is>
          <t xml:space="preserve">Stock en oficina - recepcionado</t>
        </is>
      </c>
    </row>
    <row r="162">
      <c r="A162" s="7" t="inlineStr">
        <is>
          <t xml:space="preserve">BEX-2084</t>
        </is>
      </c>
      <c r="B162" s="7" t="inlineStr">
        <is>
          <t xml:space="preserve">NUEVA (BEX-2xxx)</t>
        </is>
      </c>
      <c r="C162" s="10" t="inlineStr">
        <is>
          <t xml:space="preserve">DISPONIBLE</t>
        </is>
      </c>
      <c r="D162" s="7" t="inlineStr">
        <is>
          <t xml:space="preserve">EN OFICINA</t>
        </is>
      </c>
      <c r="E162" s="10">
        <f>IFERROR(_xlfn.XLOOKUP([@Responsable_Actual],TablaPersonal[Nombres_Apellidos],TablaPersonal[Telefono]),"POR REGISTRAR")</f>
      </c>
      <c r="F162" s="7" t="inlineStr">
        <is>
          <t xml:space="preserve"/>
        </is>
      </c>
      <c r="G162" s="7" t="inlineStr">
        <is>
          <t xml:space="preserve">SANTA CRUZ</t>
        </is>
      </c>
      <c r="H162" s="6">
        <f>IF(COUNTIFS(TablaMovimientos[Codigo_BEX],[@Codigo_Activo])=0,"",_xlfn.MAXIFS(TablaMovimientos[Fecha],TablaMovimientos[Codigo_BEX],[@Codigo_Activo]))</f>
      </c>
      <c r="I16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62" s="10">
        <f>COUNTIFS(TablaMovimientos[Codigo_BEX],[@Codigo_Activo],TablaMovimientos[Tipo_Movimiento],"PERDIDA")</f>
      </c>
      <c r="K162" s="10">
        <f>IF(NOT(ISNUMBER([@Fecha_Ultima_Asignacion])),"",TODAY()-[@Fecha_Ultima_Asignacion])</f>
      </c>
      <c r="L162" s="7" t="inlineStr">
        <is>
          <t xml:space="preserve">Stock en oficina - recepcionado</t>
        </is>
      </c>
    </row>
    <row r="163">
      <c r="A163" s="7" t="inlineStr">
        <is>
          <t xml:space="preserve">BEX-2085</t>
        </is>
      </c>
      <c r="B163" s="7" t="inlineStr">
        <is>
          <t xml:space="preserve">NUEVA (BEX-2xxx)</t>
        </is>
      </c>
      <c r="C163" s="10" t="inlineStr">
        <is>
          <t xml:space="preserve">DISPONIBLE</t>
        </is>
      </c>
      <c r="D163" s="7" t="inlineStr">
        <is>
          <t xml:space="preserve">EN OFICINA</t>
        </is>
      </c>
      <c r="E163" s="10">
        <f>IFERROR(_xlfn.XLOOKUP([@Responsable_Actual],TablaPersonal[Nombres_Apellidos],TablaPersonal[Telefono]),"POR REGISTRAR")</f>
      </c>
      <c r="F163" s="7" t="inlineStr">
        <is>
          <t xml:space="preserve"/>
        </is>
      </c>
      <c r="G163" s="7" t="inlineStr">
        <is>
          <t xml:space="preserve">SANTA CRUZ</t>
        </is>
      </c>
      <c r="H163" s="6">
        <f>IF(COUNTIFS(TablaMovimientos[Codigo_BEX],[@Codigo_Activo])=0,"",_xlfn.MAXIFS(TablaMovimientos[Fecha],TablaMovimientos[Codigo_BEX],[@Codigo_Activo]))</f>
      </c>
      <c r="I16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63" s="10">
        <f>COUNTIFS(TablaMovimientos[Codigo_BEX],[@Codigo_Activo],TablaMovimientos[Tipo_Movimiento],"PERDIDA")</f>
      </c>
      <c r="K163" s="10">
        <f>IF(NOT(ISNUMBER([@Fecha_Ultima_Asignacion])),"",TODAY()-[@Fecha_Ultima_Asignacion])</f>
      </c>
      <c r="L163" s="7" t="inlineStr">
        <is>
          <t xml:space="preserve">Stock en oficina - recepcionado</t>
        </is>
      </c>
    </row>
    <row r="164">
      <c r="A164" s="7" t="inlineStr">
        <is>
          <t xml:space="preserve">BEX-2086</t>
        </is>
      </c>
      <c r="B164" s="7" t="inlineStr">
        <is>
          <t xml:space="preserve">NUEVA (BEX-2xxx)</t>
        </is>
      </c>
      <c r="C164" s="10" t="inlineStr">
        <is>
          <t xml:space="preserve">DISPONIBLE</t>
        </is>
      </c>
      <c r="D164" s="7" t="inlineStr">
        <is>
          <t xml:space="preserve">EN OFICINA</t>
        </is>
      </c>
      <c r="E164" s="10">
        <f>IFERROR(_xlfn.XLOOKUP([@Responsable_Actual],TablaPersonal[Nombres_Apellidos],TablaPersonal[Telefono]),"POR REGISTRAR")</f>
      </c>
      <c r="F164" s="7" t="inlineStr">
        <is>
          <t xml:space="preserve"/>
        </is>
      </c>
      <c r="G164" s="7" t="inlineStr">
        <is>
          <t xml:space="preserve">SANTA CRUZ</t>
        </is>
      </c>
      <c r="H164" s="6">
        <f>IF(COUNTIFS(TablaMovimientos[Codigo_BEX],[@Codigo_Activo])=0,"",_xlfn.MAXIFS(TablaMovimientos[Fecha],TablaMovimientos[Codigo_BEX],[@Codigo_Activo]))</f>
      </c>
      <c r="I16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64" s="10">
        <f>COUNTIFS(TablaMovimientos[Codigo_BEX],[@Codigo_Activo],TablaMovimientos[Tipo_Movimiento],"PERDIDA")</f>
      </c>
      <c r="K164" s="10">
        <f>IF(NOT(ISNUMBER([@Fecha_Ultima_Asignacion])),"",TODAY()-[@Fecha_Ultima_Asignacion])</f>
      </c>
      <c r="L164" s="7" t="inlineStr">
        <is>
          <t xml:space="preserve">Stock en oficina - recepcionado</t>
        </is>
      </c>
    </row>
    <row r="165">
      <c r="A165" s="7" t="inlineStr">
        <is>
          <t xml:space="preserve">BEX-2087</t>
        </is>
      </c>
      <c r="B165" s="7" t="inlineStr">
        <is>
          <t xml:space="preserve">NUEVA (BEX-2xxx)</t>
        </is>
      </c>
      <c r="C165" s="10" t="inlineStr">
        <is>
          <t xml:space="preserve">DISPONIBLE</t>
        </is>
      </c>
      <c r="D165" s="7" t="inlineStr">
        <is>
          <t xml:space="preserve">EN OFICINA</t>
        </is>
      </c>
      <c r="E165" s="10">
        <f>IFERROR(_xlfn.XLOOKUP([@Responsable_Actual],TablaPersonal[Nombres_Apellidos],TablaPersonal[Telefono]),"POR REGISTRAR")</f>
      </c>
      <c r="F165" s="7" t="inlineStr">
        <is>
          <t xml:space="preserve"/>
        </is>
      </c>
      <c r="G165" s="7" t="inlineStr">
        <is>
          <t xml:space="preserve">SANTA CRUZ</t>
        </is>
      </c>
      <c r="H165" s="6">
        <f>IF(COUNTIFS(TablaMovimientos[Codigo_BEX],[@Codigo_Activo])=0,"",_xlfn.MAXIFS(TablaMovimientos[Fecha],TablaMovimientos[Codigo_BEX],[@Codigo_Activo]))</f>
      </c>
      <c r="I16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65" s="10">
        <f>COUNTIFS(TablaMovimientos[Codigo_BEX],[@Codigo_Activo],TablaMovimientos[Tipo_Movimiento],"PERDIDA")</f>
      </c>
      <c r="K165" s="10">
        <f>IF(NOT(ISNUMBER([@Fecha_Ultima_Asignacion])),"",TODAY()-[@Fecha_Ultima_Asignacion])</f>
      </c>
      <c r="L165" s="7" t="inlineStr">
        <is>
          <t xml:space="preserve">Stock en oficina - recepcionado</t>
        </is>
      </c>
    </row>
    <row r="166">
      <c r="A166" s="7" t="inlineStr">
        <is>
          <t xml:space="preserve">BEX-2088</t>
        </is>
      </c>
      <c r="B166" s="7" t="inlineStr">
        <is>
          <t xml:space="preserve">NUEVA (BEX-2xxx)</t>
        </is>
      </c>
      <c r="C166" s="10" t="inlineStr">
        <is>
          <t xml:space="preserve">DISPONIBLE</t>
        </is>
      </c>
      <c r="D166" s="7" t="inlineStr">
        <is>
          <t xml:space="preserve">EN OFICINA</t>
        </is>
      </c>
      <c r="E166" s="10">
        <f>IFERROR(_xlfn.XLOOKUP([@Responsable_Actual],TablaPersonal[Nombres_Apellidos],TablaPersonal[Telefono]),"POR REGISTRAR")</f>
      </c>
      <c r="F166" s="7" t="inlineStr">
        <is>
          <t xml:space="preserve"/>
        </is>
      </c>
      <c r="G166" s="7" t="inlineStr">
        <is>
          <t xml:space="preserve">SANTA CRUZ</t>
        </is>
      </c>
      <c r="H166" s="6">
        <f>IF(COUNTIFS(TablaMovimientos[Codigo_BEX],[@Codigo_Activo])=0,"",_xlfn.MAXIFS(TablaMovimientos[Fecha],TablaMovimientos[Codigo_BEX],[@Codigo_Activo]))</f>
      </c>
      <c r="I16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66" s="10">
        <f>COUNTIFS(TablaMovimientos[Codigo_BEX],[@Codigo_Activo],TablaMovimientos[Tipo_Movimiento],"PERDIDA")</f>
      </c>
      <c r="K166" s="10">
        <f>IF(NOT(ISNUMBER([@Fecha_Ultima_Asignacion])),"",TODAY()-[@Fecha_Ultima_Asignacion])</f>
      </c>
      <c r="L166" s="7" t="inlineStr">
        <is>
          <t xml:space="preserve">Stock en oficina - recepcionado</t>
        </is>
      </c>
    </row>
    <row r="167">
      <c r="A167" s="7" t="inlineStr">
        <is>
          <t xml:space="preserve">BEX-2089</t>
        </is>
      </c>
      <c r="B167" s="7" t="inlineStr">
        <is>
          <t xml:space="preserve">NUEVA (BEX-2xxx)</t>
        </is>
      </c>
      <c r="C167" s="10" t="inlineStr">
        <is>
          <t xml:space="preserve">DISPONIBLE</t>
        </is>
      </c>
      <c r="D167" s="7" t="inlineStr">
        <is>
          <t xml:space="preserve">EN OFICINA</t>
        </is>
      </c>
      <c r="E167" s="10">
        <f>IFERROR(_xlfn.XLOOKUP([@Responsable_Actual],TablaPersonal[Nombres_Apellidos],TablaPersonal[Telefono]),"POR REGISTRAR")</f>
      </c>
      <c r="F167" s="7" t="inlineStr">
        <is>
          <t xml:space="preserve"/>
        </is>
      </c>
      <c r="G167" s="7" t="inlineStr">
        <is>
          <t xml:space="preserve">SANTA CRUZ</t>
        </is>
      </c>
      <c r="H167" s="6">
        <f>IF(COUNTIFS(TablaMovimientos[Codigo_BEX],[@Codigo_Activo])=0,"",_xlfn.MAXIFS(TablaMovimientos[Fecha],TablaMovimientos[Codigo_BEX],[@Codigo_Activo]))</f>
      </c>
      <c r="I16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67" s="10">
        <f>COUNTIFS(TablaMovimientos[Codigo_BEX],[@Codigo_Activo],TablaMovimientos[Tipo_Movimiento],"PERDIDA")</f>
      </c>
      <c r="K167" s="10">
        <f>IF(NOT(ISNUMBER([@Fecha_Ultima_Asignacion])),"",TODAY()-[@Fecha_Ultima_Asignacion])</f>
      </c>
      <c r="L167" s="7" t="inlineStr">
        <is>
          <t xml:space="preserve">Stock en oficina - recepcionado</t>
        </is>
      </c>
    </row>
    <row r="168">
      <c r="A168" s="7" t="inlineStr">
        <is>
          <t xml:space="preserve">BEX-2090</t>
        </is>
      </c>
      <c r="B168" s="7" t="inlineStr">
        <is>
          <t xml:space="preserve">NUEVA (BEX-2xxx)</t>
        </is>
      </c>
      <c r="C168" s="10" t="inlineStr">
        <is>
          <t xml:space="preserve">DISPONIBLE</t>
        </is>
      </c>
      <c r="D168" s="7" t="inlineStr">
        <is>
          <t xml:space="preserve">EN OFICINA</t>
        </is>
      </c>
      <c r="E168" s="10">
        <f>IFERROR(_xlfn.XLOOKUP([@Responsable_Actual],TablaPersonal[Nombres_Apellidos],TablaPersonal[Telefono]),"POR REGISTRAR")</f>
      </c>
      <c r="F168" s="7" t="inlineStr">
        <is>
          <t xml:space="preserve"/>
        </is>
      </c>
      <c r="G168" s="7" t="inlineStr">
        <is>
          <t xml:space="preserve">SANTA CRUZ</t>
        </is>
      </c>
      <c r="H168" s="6">
        <f>IF(COUNTIFS(TablaMovimientos[Codigo_BEX],[@Codigo_Activo])=0,"",_xlfn.MAXIFS(TablaMovimientos[Fecha],TablaMovimientos[Codigo_BEX],[@Codigo_Activo]))</f>
      </c>
      <c r="I16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68" s="10">
        <f>COUNTIFS(TablaMovimientos[Codigo_BEX],[@Codigo_Activo],TablaMovimientos[Tipo_Movimiento],"PERDIDA")</f>
      </c>
      <c r="K168" s="10">
        <f>IF(NOT(ISNUMBER([@Fecha_Ultima_Asignacion])),"",TODAY()-[@Fecha_Ultima_Asignacion])</f>
      </c>
      <c r="L168" s="7" t="inlineStr">
        <is>
          <t xml:space="preserve">Stock en oficina - recepcionado</t>
        </is>
      </c>
    </row>
    <row r="169">
      <c r="A169" s="7" t="inlineStr">
        <is>
          <t xml:space="preserve">BEX-2091</t>
        </is>
      </c>
      <c r="B169" s="7" t="inlineStr">
        <is>
          <t xml:space="preserve">NUEVA (BEX-2xxx)</t>
        </is>
      </c>
      <c r="C169" s="10" t="inlineStr">
        <is>
          <t xml:space="preserve">DISPONIBLE</t>
        </is>
      </c>
      <c r="D169" s="7" t="inlineStr">
        <is>
          <t xml:space="preserve">EN OFICINA</t>
        </is>
      </c>
      <c r="E169" s="10">
        <f>IFERROR(_xlfn.XLOOKUP([@Responsable_Actual],TablaPersonal[Nombres_Apellidos],TablaPersonal[Telefono]),"POR REGISTRAR")</f>
      </c>
      <c r="F169" s="7" t="inlineStr">
        <is>
          <t xml:space="preserve"/>
        </is>
      </c>
      <c r="G169" s="7" t="inlineStr">
        <is>
          <t xml:space="preserve">SANTA CRUZ</t>
        </is>
      </c>
      <c r="H169" s="6">
        <f>IF(COUNTIFS(TablaMovimientos[Codigo_BEX],[@Codigo_Activo])=0,"",_xlfn.MAXIFS(TablaMovimientos[Fecha],TablaMovimientos[Codigo_BEX],[@Codigo_Activo]))</f>
      </c>
      <c r="I169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69" s="10">
        <f>COUNTIFS(TablaMovimientos[Codigo_BEX],[@Codigo_Activo],TablaMovimientos[Tipo_Movimiento],"PERDIDA")</f>
      </c>
      <c r="K169" s="10">
        <f>IF(NOT(ISNUMBER([@Fecha_Ultima_Asignacion])),"",TODAY()-[@Fecha_Ultima_Asignacion])</f>
      </c>
      <c r="L169" s="7" t="inlineStr">
        <is>
          <t xml:space="preserve">Stock en oficina - recepcionado</t>
        </is>
      </c>
    </row>
    <row r="170">
      <c r="A170" s="7" t="inlineStr">
        <is>
          <t xml:space="preserve">BEX-2092</t>
        </is>
      </c>
      <c r="B170" s="7" t="inlineStr">
        <is>
          <t xml:space="preserve">NUEVA (BEX-2xxx)</t>
        </is>
      </c>
      <c r="C170" s="10" t="inlineStr">
        <is>
          <t xml:space="preserve">DISPONIBLE</t>
        </is>
      </c>
      <c r="D170" s="7" t="inlineStr">
        <is>
          <t xml:space="preserve">EN OFICINA</t>
        </is>
      </c>
      <c r="E170" s="10">
        <f>IFERROR(_xlfn.XLOOKUP([@Responsable_Actual],TablaPersonal[Nombres_Apellidos],TablaPersonal[Telefono]),"POR REGISTRAR")</f>
      </c>
      <c r="F170" s="7" t="inlineStr">
        <is>
          <t xml:space="preserve"/>
        </is>
      </c>
      <c r="G170" s="7" t="inlineStr">
        <is>
          <t xml:space="preserve">SANTA CRUZ</t>
        </is>
      </c>
      <c r="H170" s="6">
        <f>IF(COUNTIFS(TablaMovimientos[Codigo_BEX],[@Codigo_Activo])=0,"",_xlfn.MAXIFS(TablaMovimientos[Fecha],TablaMovimientos[Codigo_BEX],[@Codigo_Activo]))</f>
      </c>
      <c r="I170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70" s="10">
        <f>COUNTIFS(TablaMovimientos[Codigo_BEX],[@Codigo_Activo],TablaMovimientos[Tipo_Movimiento],"PERDIDA")</f>
      </c>
      <c r="K170" s="10">
        <f>IF(NOT(ISNUMBER([@Fecha_Ultima_Asignacion])),"",TODAY()-[@Fecha_Ultima_Asignacion])</f>
      </c>
      <c r="L170" s="7" t="inlineStr">
        <is>
          <t xml:space="preserve">Stock en oficina - recepcionado</t>
        </is>
      </c>
    </row>
    <row r="171">
      <c r="A171" s="7" t="inlineStr">
        <is>
          <t xml:space="preserve">BEX-2093</t>
        </is>
      </c>
      <c r="B171" s="7" t="inlineStr">
        <is>
          <t xml:space="preserve">NUEVA (BEX-2xxx)</t>
        </is>
      </c>
      <c r="C171" s="10" t="inlineStr">
        <is>
          <t xml:space="preserve">DISPONIBLE</t>
        </is>
      </c>
      <c r="D171" s="7" t="inlineStr">
        <is>
          <t xml:space="preserve">EN OFICINA</t>
        </is>
      </c>
      <c r="E171" s="10">
        <f>IFERROR(_xlfn.XLOOKUP([@Responsable_Actual],TablaPersonal[Nombres_Apellidos],TablaPersonal[Telefono]),"POR REGISTRAR")</f>
      </c>
      <c r="F171" s="7" t="inlineStr">
        <is>
          <t xml:space="preserve"/>
        </is>
      </c>
      <c r="G171" s="7" t="inlineStr">
        <is>
          <t xml:space="preserve">SANTA CRUZ</t>
        </is>
      </c>
      <c r="H171" s="6">
        <f>IF(COUNTIFS(TablaMovimientos[Codigo_BEX],[@Codigo_Activo])=0,"",_xlfn.MAXIFS(TablaMovimientos[Fecha],TablaMovimientos[Codigo_BEX],[@Codigo_Activo]))</f>
      </c>
      <c r="I171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71" s="10">
        <f>COUNTIFS(TablaMovimientos[Codigo_BEX],[@Codigo_Activo],TablaMovimientos[Tipo_Movimiento],"PERDIDA")</f>
      </c>
      <c r="K171" s="10">
        <f>IF(NOT(ISNUMBER([@Fecha_Ultima_Asignacion])),"",TODAY()-[@Fecha_Ultima_Asignacion])</f>
      </c>
      <c r="L171" s="7" t="inlineStr">
        <is>
          <t xml:space="preserve">Stock en oficina - recepcionado</t>
        </is>
      </c>
    </row>
    <row r="172">
      <c r="A172" s="7" t="inlineStr">
        <is>
          <t xml:space="preserve">BEX-2094</t>
        </is>
      </c>
      <c r="B172" s="7" t="inlineStr">
        <is>
          <t xml:space="preserve">NUEVA (BEX-2xxx)</t>
        </is>
      </c>
      <c r="C172" s="10" t="inlineStr">
        <is>
          <t xml:space="preserve">DISPONIBLE</t>
        </is>
      </c>
      <c r="D172" s="7" t="inlineStr">
        <is>
          <t xml:space="preserve">EN OFICINA</t>
        </is>
      </c>
      <c r="E172" s="10">
        <f>IFERROR(_xlfn.XLOOKUP([@Responsable_Actual],TablaPersonal[Nombres_Apellidos],TablaPersonal[Telefono]),"POR REGISTRAR")</f>
      </c>
      <c r="F172" s="7" t="inlineStr">
        <is>
          <t xml:space="preserve"/>
        </is>
      </c>
      <c r="G172" s="7" t="inlineStr">
        <is>
          <t xml:space="preserve">SANTA CRUZ</t>
        </is>
      </c>
      <c r="H172" s="6">
        <f>IF(COUNTIFS(TablaMovimientos[Codigo_BEX],[@Codigo_Activo])=0,"",_xlfn.MAXIFS(TablaMovimientos[Fecha],TablaMovimientos[Codigo_BEX],[@Codigo_Activo]))</f>
      </c>
      <c r="I172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72" s="10">
        <f>COUNTIFS(TablaMovimientos[Codigo_BEX],[@Codigo_Activo],TablaMovimientos[Tipo_Movimiento],"PERDIDA")</f>
      </c>
      <c r="K172" s="10">
        <f>IF(NOT(ISNUMBER([@Fecha_Ultima_Asignacion])),"",TODAY()-[@Fecha_Ultima_Asignacion])</f>
      </c>
      <c r="L172" s="7" t="inlineStr">
        <is>
          <t xml:space="preserve">Stock en oficina - recepcionado</t>
        </is>
      </c>
    </row>
    <row r="173">
      <c r="A173" s="7" t="inlineStr">
        <is>
          <t xml:space="preserve">BEX-2095</t>
        </is>
      </c>
      <c r="B173" s="7" t="inlineStr">
        <is>
          <t xml:space="preserve">NUEVA (BEX-2xxx)</t>
        </is>
      </c>
      <c r="C173" s="10" t="inlineStr">
        <is>
          <t xml:space="preserve">DISPONIBLE</t>
        </is>
      </c>
      <c r="D173" s="7" t="inlineStr">
        <is>
          <t xml:space="preserve">EN OFICINA</t>
        </is>
      </c>
      <c r="E173" s="10">
        <f>IFERROR(_xlfn.XLOOKUP([@Responsable_Actual],TablaPersonal[Nombres_Apellidos],TablaPersonal[Telefono]),"POR REGISTRAR")</f>
      </c>
      <c r="F173" s="7" t="inlineStr">
        <is>
          <t xml:space="preserve"/>
        </is>
      </c>
      <c r="G173" s="7" t="inlineStr">
        <is>
          <t xml:space="preserve">SANTA CRUZ</t>
        </is>
      </c>
      <c r="H173" s="6">
        <f>IF(COUNTIFS(TablaMovimientos[Codigo_BEX],[@Codigo_Activo])=0,"",_xlfn.MAXIFS(TablaMovimientos[Fecha],TablaMovimientos[Codigo_BEX],[@Codigo_Activo]))</f>
      </c>
      <c r="I173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73" s="10">
        <f>COUNTIFS(TablaMovimientos[Codigo_BEX],[@Codigo_Activo],TablaMovimientos[Tipo_Movimiento],"PERDIDA")</f>
      </c>
      <c r="K173" s="10">
        <f>IF(NOT(ISNUMBER([@Fecha_Ultima_Asignacion])),"",TODAY()-[@Fecha_Ultima_Asignacion])</f>
      </c>
      <c r="L173" s="7" t="inlineStr">
        <is>
          <t xml:space="preserve">Stock en oficina - recepcionado</t>
        </is>
      </c>
    </row>
    <row r="174">
      <c r="A174" s="7" t="inlineStr">
        <is>
          <t xml:space="preserve">BEX-2096</t>
        </is>
      </c>
      <c r="B174" s="7" t="inlineStr">
        <is>
          <t xml:space="preserve">NUEVA (BEX-2xxx)</t>
        </is>
      </c>
      <c r="C174" s="10" t="inlineStr">
        <is>
          <t xml:space="preserve">DISPONIBLE</t>
        </is>
      </c>
      <c r="D174" s="7" t="inlineStr">
        <is>
          <t xml:space="preserve">EN OFICINA</t>
        </is>
      </c>
      <c r="E174" s="10">
        <f>IFERROR(_xlfn.XLOOKUP([@Responsable_Actual],TablaPersonal[Nombres_Apellidos],TablaPersonal[Telefono]),"POR REGISTRAR")</f>
      </c>
      <c r="F174" s="7" t="inlineStr">
        <is>
          <t xml:space="preserve"/>
        </is>
      </c>
      <c r="G174" s="7" t="inlineStr">
        <is>
          <t xml:space="preserve">SANTA CRUZ</t>
        </is>
      </c>
      <c r="H174" s="6">
        <f>IF(COUNTIFS(TablaMovimientos[Codigo_BEX],[@Codigo_Activo])=0,"",_xlfn.MAXIFS(TablaMovimientos[Fecha],TablaMovimientos[Codigo_BEX],[@Codigo_Activo]))</f>
      </c>
      <c r="I174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74" s="10">
        <f>COUNTIFS(TablaMovimientos[Codigo_BEX],[@Codigo_Activo],TablaMovimientos[Tipo_Movimiento],"PERDIDA")</f>
      </c>
      <c r="K174" s="10">
        <f>IF(NOT(ISNUMBER([@Fecha_Ultima_Asignacion])),"",TODAY()-[@Fecha_Ultima_Asignacion])</f>
      </c>
      <c r="L174" s="7" t="inlineStr">
        <is>
          <t xml:space="preserve">Stock en oficina - recepcionado</t>
        </is>
      </c>
    </row>
    <row r="175">
      <c r="A175" s="7" t="inlineStr">
        <is>
          <t xml:space="preserve">BEX-2097</t>
        </is>
      </c>
      <c r="B175" s="7" t="inlineStr">
        <is>
          <t xml:space="preserve">NUEVA (BEX-2xxx)</t>
        </is>
      </c>
      <c r="C175" s="10" t="inlineStr">
        <is>
          <t xml:space="preserve">DISPONIBLE</t>
        </is>
      </c>
      <c r="D175" s="7" t="inlineStr">
        <is>
          <t xml:space="preserve">EN OFICINA</t>
        </is>
      </c>
      <c r="E175" s="10">
        <f>IFERROR(_xlfn.XLOOKUP([@Responsable_Actual],TablaPersonal[Nombres_Apellidos],TablaPersonal[Telefono]),"POR REGISTRAR")</f>
      </c>
      <c r="F175" s="7" t="inlineStr">
        <is>
          <t xml:space="preserve"/>
        </is>
      </c>
      <c r="G175" s="7" t="inlineStr">
        <is>
          <t xml:space="preserve">SANTA CRUZ</t>
        </is>
      </c>
      <c r="H175" s="6">
        <f>IF(COUNTIFS(TablaMovimientos[Codigo_BEX],[@Codigo_Activo])=0,"",_xlfn.MAXIFS(TablaMovimientos[Fecha],TablaMovimientos[Codigo_BEX],[@Codigo_Activo]))</f>
      </c>
      <c r="I175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75" s="10">
        <f>COUNTIFS(TablaMovimientos[Codigo_BEX],[@Codigo_Activo],TablaMovimientos[Tipo_Movimiento],"PERDIDA")</f>
      </c>
      <c r="K175" s="10">
        <f>IF(NOT(ISNUMBER([@Fecha_Ultima_Asignacion])),"",TODAY()-[@Fecha_Ultima_Asignacion])</f>
      </c>
      <c r="L175" s="7" t="inlineStr">
        <is>
          <t xml:space="preserve">Stock en oficina - recepcionado</t>
        </is>
      </c>
    </row>
    <row r="176">
      <c r="A176" s="7" t="inlineStr">
        <is>
          <t xml:space="preserve">BEX-2098</t>
        </is>
      </c>
      <c r="B176" s="7" t="inlineStr">
        <is>
          <t xml:space="preserve">NUEVA (BEX-2xxx)</t>
        </is>
      </c>
      <c r="C176" s="10" t="inlineStr">
        <is>
          <t xml:space="preserve">DISPONIBLE</t>
        </is>
      </c>
      <c r="D176" s="7" t="inlineStr">
        <is>
          <t xml:space="preserve">EN OFICINA</t>
        </is>
      </c>
      <c r="E176" s="10">
        <f>IFERROR(_xlfn.XLOOKUP([@Responsable_Actual],TablaPersonal[Nombres_Apellidos],TablaPersonal[Telefono]),"POR REGISTRAR")</f>
      </c>
      <c r="F176" s="7" t="inlineStr">
        <is>
          <t xml:space="preserve"/>
        </is>
      </c>
      <c r="G176" s="7" t="inlineStr">
        <is>
          <t xml:space="preserve">SANTA CRUZ</t>
        </is>
      </c>
      <c r="H176" s="6">
        <f>IF(COUNTIFS(TablaMovimientos[Codigo_BEX],[@Codigo_Activo])=0,"",_xlfn.MAXIFS(TablaMovimientos[Fecha],TablaMovimientos[Codigo_BEX],[@Codigo_Activo]))</f>
      </c>
      <c r="I176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76" s="10">
        <f>COUNTIFS(TablaMovimientos[Codigo_BEX],[@Codigo_Activo],TablaMovimientos[Tipo_Movimiento],"PERDIDA")</f>
      </c>
      <c r="K176" s="10">
        <f>IF(NOT(ISNUMBER([@Fecha_Ultima_Asignacion])),"",TODAY()-[@Fecha_Ultima_Asignacion])</f>
      </c>
      <c r="L176" s="7" t="inlineStr">
        <is>
          <t xml:space="preserve">Stock en oficina - recepcionado</t>
        </is>
      </c>
    </row>
    <row r="177">
      <c r="A177" s="7" t="inlineStr">
        <is>
          <t xml:space="preserve">BEX-2099</t>
        </is>
      </c>
      <c r="B177" s="7" t="inlineStr">
        <is>
          <t xml:space="preserve">NUEVA (BEX-2xxx)</t>
        </is>
      </c>
      <c r="C177" s="10" t="inlineStr">
        <is>
          <t xml:space="preserve">DISPONIBLE</t>
        </is>
      </c>
      <c r="D177" s="7" t="inlineStr">
        <is>
          <t xml:space="preserve">EN OFICINA</t>
        </is>
      </c>
      <c r="E177" s="10">
        <f>IFERROR(_xlfn.XLOOKUP([@Responsable_Actual],TablaPersonal[Nombres_Apellidos],TablaPersonal[Telefono]),"POR REGISTRAR")</f>
      </c>
      <c r="F177" s="7" t="inlineStr">
        <is>
          <t xml:space="preserve"/>
        </is>
      </c>
      <c r="G177" s="7" t="inlineStr">
        <is>
          <t xml:space="preserve">SANTA CRUZ</t>
        </is>
      </c>
      <c r="H177" s="6">
        <f>IF(COUNTIFS(TablaMovimientos[Codigo_BEX],[@Codigo_Activo])=0,"",_xlfn.MAXIFS(TablaMovimientos[Fecha],TablaMovimientos[Codigo_BEX],[@Codigo_Activo]))</f>
      </c>
      <c r="I177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77" s="10">
        <f>COUNTIFS(TablaMovimientos[Codigo_BEX],[@Codigo_Activo],TablaMovimientos[Tipo_Movimiento],"PERDIDA")</f>
      </c>
      <c r="K177" s="10">
        <f>IF(NOT(ISNUMBER([@Fecha_Ultima_Asignacion])),"",TODAY()-[@Fecha_Ultima_Asignacion])</f>
      </c>
      <c r="L177" s="7" t="inlineStr">
        <is>
          <t xml:space="preserve">Stock en oficina - recepcionado</t>
        </is>
      </c>
    </row>
    <row r="178">
      <c r="A178" s="7" t="inlineStr">
        <is>
          <t xml:space="preserve">BEX-2100</t>
        </is>
      </c>
      <c r="B178" s="7" t="inlineStr">
        <is>
          <t xml:space="preserve">NUEVA (BEX-2xxx)</t>
        </is>
      </c>
      <c r="C178" s="10" t="inlineStr">
        <is>
          <t xml:space="preserve">DISPONIBLE</t>
        </is>
      </c>
      <c r="D178" s="7" t="inlineStr">
        <is>
          <t xml:space="preserve">EN OFICINA</t>
        </is>
      </c>
      <c r="E178" s="10">
        <f>IFERROR(_xlfn.XLOOKUP([@Responsable_Actual],TablaPersonal[Nombres_Apellidos],TablaPersonal[Telefono]),"POR REGISTRAR")</f>
      </c>
      <c r="F178" s="7" t="inlineStr">
        <is>
          <t xml:space="preserve"/>
        </is>
      </c>
      <c r="G178" s="7" t="inlineStr">
        <is>
          <t xml:space="preserve">SANTA CRUZ</t>
        </is>
      </c>
      <c r="H178" s="6">
        <f>IF(COUNTIFS(TablaMovimientos[Codigo_BEX],[@Codigo_Activo])=0,"",_xlfn.MAXIFS(TablaMovimientos[Fecha],TablaMovimientos[Codigo_BEX],[@Codigo_Activo]))</f>
      </c>
      <c r="I178" s="6">
        <f>IF(COUNTIFS(TablaMovimientos[Codigo_BEX],[@Codigo_Activo],TablaMovimientos[Tipo_Movimiento],"DEVOLUCION")=0,"",_xlfn.MAXIFS(TablaMovimientos[Fecha],TablaMovimientos[Codigo_BEX],[@Codigo_Activo],TablaMovimientos[Tipo_Movimiento],"DEVOLUCION"))</f>
      </c>
      <c r="J178" s="10">
        <f>COUNTIFS(TablaMovimientos[Codigo_BEX],[@Codigo_Activo],TablaMovimientos[Tipo_Movimiento],"PERDIDA")</f>
      </c>
      <c r="K178" s="10">
        <f>IF(NOT(ISNUMBER([@Fecha_Ultima_Asignacion])),"",TODAY()-[@Fecha_Ultima_Asignacion])</f>
      </c>
      <c r="L178" s="7" t="inlineStr">
        <is>
          <t xml:space="preserve">Stock en oficina - recepcionado</t>
        </is>
      </c>
    </row>
  </sheetData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2"/>
  <sheetViews>
    <sheetView workbookViewId="0">
      <pane xSplit="0" ySplit="1" topLeftCell="A2" activePane="bottomRight" state="frozen"/>
      <selection pane="bottomRight"/>
    </sheetView>
  </sheetViews>
  <sheetFormatPr defaultRowHeight="15"/>
  <cols>
    <col min="1" max="1" width="12.00" customWidth="1"/>
    <col min="2" max="2" width="14.00" customWidth="1"/>
    <col min="3" max="3" width="38.00" customWidth="1"/>
    <col min="4" max="4" width="13.00" customWidth="1"/>
    <col min="5" max="5" width="30.00" customWidth="1"/>
    <col min="6" max="6" width="13.00" customWidth="1"/>
    <col min="7" max="7" width="11.00" customWidth="1"/>
    <col min="8" max="8" width="16.00" customWidth="1"/>
    <col min="9" max="9" width="14.00" customWidth="1"/>
    <col min="10" max="10" width="28.00" customWidth="1"/>
  </cols>
  <sheetData>
    <row r="1">
      <c r="A1" s="1" t="inlineStr">
        <is>
          <t xml:space="preserve">ID_Persona</t>
        </is>
      </c>
      <c r="B1" s="1" t="inlineStr">
        <is>
          <t xml:space="preserve">Telefono</t>
        </is>
      </c>
      <c r="C1" s="1" t="inlineStr">
        <is>
          <t xml:space="preserve">Nombres_Apellidos</t>
        </is>
      </c>
      <c r="D1" s="1" t="inlineStr">
        <is>
          <t xml:space="preserve">Rol</t>
        </is>
      </c>
      <c r="E1" s="1" t="inlineStr">
        <is>
          <t xml:space="preserve">Supervisor</t>
        </is>
      </c>
      <c r="F1" s="1" t="inlineStr">
        <is>
          <t xml:space="preserve">Regional</t>
        </is>
      </c>
      <c r="G1" s="1" t="inlineStr">
        <is>
          <t xml:space="preserve">Estado</t>
        </is>
      </c>
      <c r="H1" s="1" t="inlineStr">
        <is>
          <t xml:space="preserve">Credencial_Actual</t>
        </is>
      </c>
      <c r="I1" s="1" t="inlineStr">
        <is>
          <t xml:space="preserve">Fecha_Ingreso</t>
        </is>
      </c>
      <c r="J1" s="1" t="inlineStr">
        <is>
          <t xml:space="preserve">Observaciones</t>
        </is>
      </c>
    </row>
    <row r="2">
      <c r="A2" s="7" t="inlineStr">
        <is>
          <t xml:space="preserve">PER-001</t>
        </is>
      </c>
      <c r="B2" s="10" t="inlineStr">
        <is>
          <t xml:space="preserve">POR REGISTRAR</t>
        </is>
      </c>
      <c r="C2" s="7" t="inlineStr">
        <is>
          <t xml:space="preserve">HASIRA DANIELA OSINAGA CHOQUE</t>
        </is>
      </c>
      <c r="D2" s="10" t="inlineStr">
        <is>
          <t xml:space="preserve">SUPERVISOR</t>
        </is>
      </c>
      <c r="E2" s="7" t="inlineStr">
        <is>
          <t xml:space="preserve">HASIRA DANIELA OSINAGA CHOQUE</t>
        </is>
      </c>
      <c r="F2" s="7" t="inlineStr">
        <is>
          <t xml:space="preserve">COCHABAMBA</t>
        </is>
      </c>
      <c r="G2" s="10" t="inlineStr">
        <is>
          <t xml:space="preserve">ACTIVO</t>
        </is>
      </c>
      <c r="H2" s="10" t="inlineStr">
        <is>
          <t xml:space="preserve">BEX-0298</t>
        </is>
      </c>
      <c r="I2" s="10" t="inlineStr">
        <is>
          <t xml:space="preserve"/>
        </is>
      </c>
      <c r="J2" s="7" t="inlineStr">
        <is>
          <t xml:space="preserve"/>
        </is>
      </c>
    </row>
    <row r="3">
      <c r="A3" s="7" t="inlineStr">
        <is>
          <t xml:space="preserve">PER-002</t>
        </is>
      </c>
      <c r="B3" s="10" t="inlineStr">
        <is>
          <t xml:space="preserve">POR REGISTRAR</t>
        </is>
      </c>
      <c r="C3" s="7" t="inlineStr">
        <is>
          <t xml:space="preserve">BRUNO ROCHA PEREIRA</t>
        </is>
      </c>
      <c r="D3" s="10" t="inlineStr">
        <is>
          <t xml:space="preserve">AFILIADOR</t>
        </is>
      </c>
      <c r="E3" s="7" t="inlineStr">
        <is>
          <t xml:space="preserve">HASIRA DANIELA OSINAGA CHOQUE</t>
        </is>
      </c>
      <c r="F3" s="7" t="inlineStr">
        <is>
          <t xml:space="preserve">COCHABAMBA</t>
        </is>
      </c>
      <c r="G3" s="10" t="inlineStr">
        <is>
          <t xml:space="preserve">ACTIVO</t>
        </is>
      </c>
      <c r="H3" s="10" t="inlineStr">
        <is>
          <t xml:space="preserve">BEX-0152</t>
        </is>
      </c>
      <c r="I3" s="10" t="inlineStr">
        <is>
          <t xml:space="preserve"/>
        </is>
      </c>
      <c r="J3" s="7" t="inlineStr">
        <is>
          <t xml:space="preserve"/>
        </is>
      </c>
    </row>
    <row r="4">
      <c r="A4" s="7" t="inlineStr">
        <is>
          <t xml:space="preserve">PER-003</t>
        </is>
      </c>
      <c r="B4" s="10" t="inlineStr">
        <is>
          <t xml:space="preserve">POR REGISTRAR</t>
        </is>
      </c>
      <c r="C4" s="7" t="inlineStr">
        <is>
          <t xml:space="preserve">JOSE OLAF ROJAS CONDARCO</t>
        </is>
      </c>
      <c r="D4" s="10" t="inlineStr">
        <is>
          <t xml:space="preserve">AFILIADOR</t>
        </is>
      </c>
      <c r="E4" s="7" t="inlineStr">
        <is>
          <t xml:space="preserve">HASIRA DANIELA OSINAGA CHOQUE</t>
        </is>
      </c>
      <c r="F4" s="7" t="inlineStr">
        <is>
          <t xml:space="preserve">COCHABAMBA</t>
        </is>
      </c>
      <c r="G4" s="10" t="inlineStr">
        <is>
          <t xml:space="preserve">ACTIVO</t>
        </is>
      </c>
      <c r="H4" s="10" t="inlineStr">
        <is>
          <t xml:space="preserve">BEX-0532</t>
        </is>
      </c>
      <c r="I4" s="10" t="inlineStr">
        <is>
          <t xml:space="preserve"/>
        </is>
      </c>
      <c r="J4" s="7" t="inlineStr">
        <is>
          <t xml:space="preserve"/>
        </is>
      </c>
    </row>
    <row r="5">
      <c r="A5" s="7" t="inlineStr">
        <is>
          <t xml:space="preserve">PER-004</t>
        </is>
      </c>
      <c r="B5" s="10" t="inlineStr">
        <is>
          <t xml:space="preserve">POR REGISTRAR</t>
        </is>
      </c>
      <c r="C5" s="7" t="inlineStr">
        <is>
          <t xml:space="preserve">EVELYN CARMELA ESPINOZA CASTRO</t>
        </is>
      </c>
      <c r="D5" s="10" t="inlineStr">
        <is>
          <t xml:space="preserve">AFILIADOR</t>
        </is>
      </c>
      <c r="E5" s="7" t="inlineStr">
        <is>
          <t xml:space="preserve">HASIRA DANIELA OSINAGA CHOQUE</t>
        </is>
      </c>
      <c r="F5" s="7" t="inlineStr">
        <is>
          <t xml:space="preserve">COCHABAMBA</t>
        </is>
      </c>
      <c r="G5" s="10" t="inlineStr">
        <is>
          <t xml:space="preserve">ACTIVO</t>
        </is>
      </c>
      <c r="H5" s="10" t="inlineStr">
        <is>
          <t xml:space="preserve">BEX-0511</t>
        </is>
      </c>
      <c r="I5" s="10" t="inlineStr">
        <is>
          <t xml:space="preserve"/>
        </is>
      </c>
      <c r="J5" s="7" t="inlineStr">
        <is>
          <t xml:space="preserve"/>
        </is>
      </c>
    </row>
    <row r="6">
      <c r="A6" s="7" t="inlineStr">
        <is>
          <t xml:space="preserve">PER-005</t>
        </is>
      </c>
      <c r="B6" s="10" t="inlineStr">
        <is>
          <t xml:space="preserve">POR REGISTRAR</t>
        </is>
      </c>
      <c r="C6" s="7" t="inlineStr">
        <is>
          <t xml:space="preserve">HEYDY DAYANA PUTARE MACHACA</t>
        </is>
      </c>
      <c r="D6" s="10" t="inlineStr">
        <is>
          <t xml:space="preserve">AFILIADOR</t>
        </is>
      </c>
      <c r="E6" s="7" t="inlineStr">
        <is>
          <t xml:space="preserve">HASIRA DANIELA OSINAGA CHOQUE</t>
        </is>
      </c>
      <c r="F6" s="7" t="inlineStr">
        <is>
          <t xml:space="preserve">COCHABAMBA</t>
        </is>
      </c>
      <c r="G6" s="10" t="inlineStr">
        <is>
          <t xml:space="preserve">ACTIVO</t>
        </is>
      </c>
      <c r="H6" s="10" t="inlineStr">
        <is>
          <t xml:space="preserve">BEX-0528</t>
        </is>
      </c>
      <c r="I6" s="10" t="inlineStr">
        <is>
          <t xml:space="preserve"/>
        </is>
      </c>
      <c r="J6" s="7" t="inlineStr">
        <is>
          <t xml:space="preserve"/>
        </is>
      </c>
    </row>
    <row r="7">
      <c r="A7" s="7" t="inlineStr">
        <is>
          <t xml:space="preserve">PER-006</t>
        </is>
      </c>
      <c r="B7" s="10" t="inlineStr">
        <is>
          <t xml:space="preserve">POR REGISTRAR</t>
        </is>
      </c>
      <c r="C7" s="7" t="inlineStr">
        <is>
          <t xml:space="preserve">JOHANNA CASSANDRA CHAVEZ VALERIANO</t>
        </is>
      </c>
      <c r="D7" s="10" t="inlineStr">
        <is>
          <t xml:space="preserve">AFILIADOR</t>
        </is>
      </c>
      <c r="E7" s="7" t="inlineStr">
        <is>
          <t xml:space="preserve">HASIRA DANIELA OSINAGA CHOQUE</t>
        </is>
      </c>
      <c r="F7" s="7" t="inlineStr">
        <is>
          <t xml:space="preserve">COCHABAMBA</t>
        </is>
      </c>
      <c r="G7" s="10" t="inlineStr">
        <is>
          <t xml:space="preserve">ACTIVO</t>
        </is>
      </c>
      <c r="H7" s="10" t="inlineStr">
        <is>
          <t xml:space="preserve">BEX-0522</t>
        </is>
      </c>
      <c r="I7" s="10" t="inlineStr">
        <is>
          <t xml:space="preserve"/>
        </is>
      </c>
      <c r="J7" s="7" t="inlineStr">
        <is>
          <t xml:space="preserve"/>
        </is>
      </c>
    </row>
    <row r="8">
      <c r="A8" s="7" t="inlineStr">
        <is>
          <t xml:space="preserve">PER-007</t>
        </is>
      </c>
      <c r="B8" s="10" t="inlineStr">
        <is>
          <t xml:space="preserve">POR REGISTRAR</t>
        </is>
      </c>
      <c r="C8" s="7" t="inlineStr">
        <is>
          <t xml:space="preserve">LAURA ANDREA TRIBENO GUTIERREZ</t>
        </is>
      </c>
      <c r="D8" s="10" t="inlineStr">
        <is>
          <t xml:space="preserve">AFILIADOR</t>
        </is>
      </c>
      <c r="E8" s="7" t="inlineStr">
        <is>
          <t xml:space="preserve">HASIRA DANIELA OSINAGA CHOQUE</t>
        </is>
      </c>
      <c r="F8" s="7" t="inlineStr">
        <is>
          <t xml:space="preserve">COCHABAMBA</t>
        </is>
      </c>
      <c r="G8" s="10" t="inlineStr">
        <is>
          <t xml:space="preserve">ACTIVO</t>
        </is>
      </c>
      <c r="H8" s="10" t="inlineStr">
        <is>
          <t xml:space="preserve">BEX-0533</t>
        </is>
      </c>
      <c r="I8" s="10" t="inlineStr">
        <is>
          <t xml:space="preserve"/>
        </is>
      </c>
      <c r="J8" s="7" t="inlineStr">
        <is>
          <t xml:space="preserve"/>
        </is>
      </c>
    </row>
    <row r="9">
      <c r="A9" s="7" t="inlineStr">
        <is>
          <t xml:space="preserve">PER-008</t>
        </is>
      </c>
      <c r="B9" s="10" t="inlineStr">
        <is>
          <t xml:space="preserve">POR REGISTRAR</t>
        </is>
      </c>
      <c r="C9" s="7" t="inlineStr">
        <is>
          <t xml:space="preserve">MARCELO RIVAS MARIN</t>
        </is>
      </c>
      <c r="D9" s="10" t="inlineStr">
        <is>
          <t xml:space="preserve">AFILIADOR</t>
        </is>
      </c>
      <c r="E9" s="7" t="inlineStr">
        <is>
          <t xml:space="preserve">HASIRA DANIELA OSINAGA CHOQUE</t>
        </is>
      </c>
      <c r="F9" s="7" t="inlineStr">
        <is>
          <t xml:space="preserve">COCHABAMBA</t>
        </is>
      </c>
      <c r="G9" s="10" t="inlineStr">
        <is>
          <t xml:space="preserve">ACTIVO</t>
        </is>
      </c>
      <c r="H9" s="10" t="inlineStr">
        <is>
          <t xml:space="preserve">BEX-0525</t>
        </is>
      </c>
      <c r="I9" s="10" t="inlineStr">
        <is>
          <t xml:space="preserve"/>
        </is>
      </c>
      <c r="J9" s="7" t="inlineStr">
        <is>
          <t xml:space="preserve"/>
        </is>
      </c>
    </row>
    <row r="10">
      <c r="A10" s="7" t="inlineStr">
        <is>
          <t xml:space="preserve">PER-009</t>
        </is>
      </c>
      <c r="B10" s="10" t="inlineStr">
        <is>
          <t xml:space="preserve">POR REGISTRAR</t>
        </is>
      </c>
      <c r="C10" s="7" t="inlineStr">
        <is>
          <t xml:space="preserve">SARAI VANESA TERAN GONZALES</t>
        </is>
      </c>
      <c r="D10" s="10" t="inlineStr">
        <is>
          <t xml:space="preserve">AFILIADOR</t>
        </is>
      </c>
      <c r="E10" s="7" t="inlineStr">
        <is>
          <t xml:space="preserve">HASIRA DANIELA OSINAGA CHOQUE</t>
        </is>
      </c>
      <c r="F10" s="7" t="inlineStr">
        <is>
          <t xml:space="preserve">COCHABAMBA</t>
        </is>
      </c>
      <c r="G10" s="10" t="inlineStr">
        <is>
          <t xml:space="preserve">ACTIVO</t>
        </is>
      </c>
      <c r="H10" s="10" t="inlineStr">
        <is>
          <t xml:space="preserve">BEX-0517</t>
        </is>
      </c>
      <c r="I10" s="10" t="inlineStr">
        <is>
          <t xml:space="preserve"/>
        </is>
      </c>
      <c r="J10" s="7" t="inlineStr">
        <is>
          <t xml:space="preserve"/>
        </is>
      </c>
    </row>
    <row r="11">
      <c r="A11" s="7" t="inlineStr">
        <is>
          <t xml:space="preserve">PER-010</t>
        </is>
      </c>
      <c r="B11" s="10" t="inlineStr">
        <is>
          <t xml:space="preserve">POR REGISTRAR</t>
        </is>
      </c>
      <c r="C11" s="7" t="inlineStr">
        <is>
          <t xml:space="preserve">PAMELA FANNY CALANI LAURA</t>
        </is>
      </c>
      <c r="D11" s="10" t="inlineStr">
        <is>
          <t xml:space="preserve">SUPERVISOR</t>
        </is>
      </c>
      <c r="E11" s="7" t="inlineStr">
        <is>
          <t xml:space="preserve">PAMELA FANNY CALANI LAURA</t>
        </is>
      </c>
      <c r="F11" s="7" t="inlineStr">
        <is>
          <t xml:space="preserve">COCHABAMBA</t>
        </is>
      </c>
      <c r="G11" s="10" t="inlineStr">
        <is>
          <t xml:space="preserve">ACTIVO</t>
        </is>
      </c>
      <c r="H11" s="10" t="inlineStr">
        <is>
          <t xml:space="preserve">BEX-0017</t>
        </is>
      </c>
      <c r="I11" s="10" t="inlineStr">
        <is>
          <t xml:space="preserve"/>
        </is>
      </c>
      <c r="J11" s="7" t="inlineStr">
        <is>
          <t xml:space="preserve"/>
        </is>
      </c>
    </row>
    <row r="12">
      <c r="A12" s="7" t="inlineStr">
        <is>
          <t xml:space="preserve">PER-011</t>
        </is>
      </c>
      <c r="B12" s="10" t="inlineStr">
        <is>
          <t xml:space="preserve">POR REGISTRAR</t>
        </is>
      </c>
      <c r="C12" s="7" t="inlineStr">
        <is>
          <t xml:space="preserve">ALAN GUSTAVO ARNEZ TORO</t>
        </is>
      </c>
      <c r="D12" s="10" t="inlineStr">
        <is>
          <t xml:space="preserve">AFILIADOR</t>
        </is>
      </c>
      <c r="E12" s="7" t="inlineStr">
        <is>
          <t xml:space="preserve">PAMELA FANNY CALANI LAURA</t>
        </is>
      </c>
      <c r="F12" s="7" t="inlineStr">
        <is>
          <t xml:space="preserve">COCHABAMBA</t>
        </is>
      </c>
      <c r="G12" s="10" t="inlineStr">
        <is>
          <t xml:space="preserve">ACTIVO</t>
        </is>
      </c>
      <c r="H12" s="10" t="inlineStr">
        <is>
          <t xml:space="preserve">BEX-0014</t>
        </is>
      </c>
      <c r="I12" s="10" t="inlineStr">
        <is>
          <t xml:space="preserve"/>
        </is>
      </c>
      <c r="J12" s="7" t="inlineStr">
        <is>
          <t xml:space="preserve"/>
        </is>
      </c>
    </row>
    <row r="13">
      <c r="A13" s="7" t="inlineStr">
        <is>
          <t xml:space="preserve">PER-012</t>
        </is>
      </c>
      <c r="B13" s="10" t="inlineStr">
        <is>
          <t xml:space="preserve">POR REGISTRAR</t>
        </is>
      </c>
      <c r="C13" s="7" t="inlineStr">
        <is>
          <t xml:space="preserve">CALEB HERNAN FLORES FLORES</t>
        </is>
      </c>
      <c r="D13" s="10" t="inlineStr">
        <is>
          <t xml:space="preserve">AFILIADOR</t>
        </is>
      </c>
      <c r="E13" s="7" t="inlineStr">
        <is>
          <t xml:space="preserve">PAMELA FANNY CALANI LAURA</t>
        </is>
      </c>
      <c r="F13" s="7" t="inlineStr">
        <is>
          <t xml:space="preserve">COCHABAMBA</t>
        </is>
      </c>
      <c r="G13" s="10" t="inlineStr">
        <is>
          <t xml:space="preserve">ACTIVO</t>
        </is>
      </c>
      <c r="H13" s="10" t="inlineStr">
        <is>
          <t xml:space="preserve">BEX-0057</t>
        </is>
      </c>
      <c r="I13" s="10" t="inlineStr">
        <is>
          <t xml:space="preserve"/>
        </is>
      </c>
      <c r="J13" s="7" t="inlineStr">
        <is>
          <t xml:space="preserve"/>
        </is>
      </c>
    </row>
    <row r="14">
      <c r="A14" s="7" t="inlineStr">
        <is>
          <t xml:space="preserve">PER-013</t>
        </is>
      </c>
      <c r="B14" s="10" t="inlineStr">
        <is>
          <t xml:space="preserve">POR REGISTRAR</t>
        </is>
      </c>
      <c r="C14" s="7" t="inlineStr">
        <is>
          <t xml:space="preserve">DIEGO ARMANDO COLQUE COLQUE</t>
        </is>
      </c>
      <c r="D14" s="10" t="inlineStr">
        <is>
          <t xml:space="preserve">AFILIADOR</t>
        </is>
      </c>
      <c r="E14" s="7" t="inlineStr">
        <is>
          <t xml:space="preserve">PAMELA FANNY CALANI LAURA</t>
        </is>
      </c>
      <c r="F14" s="7" t="inlineStr">
        <is>
          <t xml:space="preserve">COCHABAMBA</t>
        </is>
      </c>
      <c r="G14" s="10" t="inlineStr">
        <is>
          <t xml:space="preserve">ACTIVO</t>
        </is>
      </c>
      <c r="H14" s="10" t="inlineStr">
        <is>
          <t xml:space="preserve">BEX-0018</t>
        </is>
      </c>
      <c r="I14" s="10" t="inlineStr">
        <is>
          <t xml:space="preserve"/>
        </is>
      </c>
      <c r="J14" s="7" t="inlineStr">
        <is>
          <t xml:space="preserve"/>
        </is>
      </c>
    </row>
    <row r="15">
      <c r="A15" s="7" t="inlineStr">
        <is>
          <t xml:space="preserve">PER-014</t>
        </is>
      </c>
      <c r="B15" s="10" t="inlineStr">
        <is>
          <t xml:space="preserve">POR REGISTRAR</t>
        </is>
      </c>
      <c r="C15" s="7" t="inlineStr">
        <is>
          <t xml:space="preserve">PABLO SANTIAGO PEREZ NAVA</t>
        </is>
      </c>
      <c r="D15" s="10" t="inlineStr">
        <is>
          <t xml:space="preserve">AFILIADOR</t>
        </is>
      </c>
      <c r="E15" s="7" t="inlineStr">
        <is>
          <t xml:space="preserve">PAMELA FANNY CALANI LAURA</t>
        </is>
      </c>
      <c r="F15" s="7" t="inlineStr">
        <is>
          <t xml:space="preserve">COCHABAMBA</t>
        </is>
      </c>
      <c r="G15" s="10" t="inlineStr">
        <is>
          <t xml:space="preserve">ACTIVO</t>
        </is>
      </c>
      <c r="H15" s="10" t="inlineStr">
        <is>
          <t xml:space="preserve">BEX-0023</t>
        </is>
      </c>
      <c r="I15" s="10" t="inlineStr">
        <is>
          <t xml:space="preserve"/>
        </is>
      </c>
      <c r="J15" s="7" t="inlineStr">
        <is>
          <t xml:space="preserve"/>
        </is>
      </c>
    </row>
    <row r="16">
      <c r="A16" s="7" t="inlineStr">
        <is>
          <t xml:space="preserve">PER-015</t>
        </is>
      </c>
      <c r="B16" s="10" t="inlineStr">
        <is>
          <t xml:space="preserve">POR REGISTRAR</t>
        </is>
      </c>
      <c r="C16" s="7" t="inlineStr">
        <is>
          <t xml:space="preserve">ROSIELVA ALDANA</t>
        </is>
      </c>
      <c r="D16" s="10" t="inlineStr">
        <is>
          <t xml:space="preserve">AFILIADOR</t>
        </is>
      </c>
      <c r="E16" s="7" t="inlineStr">
        <is>
          <t xml:space="preserve">PAMELA FANNY CALANI LAURA</t>
        </is>
      </c>
      <c r="F16" s="7" t="inlineStr">
        <is>
          <t xml:space="preserve">COCHABAMBA</t>
        </is>
      </c>
      <c r="G16" s="10" t="inlineStr">
        <is>
          <t xml:space="preserve">ACTIVO</t>
        </is>
      </c>
      <c r="H16" s="10" t="inlineStr">
        <is>
          <t xml:space="preserve">BEX-0012</t>
        </is>
      </c>
      <c r="I16" s="10" t="inlineStr">
        <is>
          <t xml:space="preserve"/>
        </is>
      </c>
      <c r="J16" s="7" t="inlineStr">
        <is>
          <t xml:space="preserve">Nombre incompleto - verificar</t>
        </is>
      </c>
    </row>
    <row r="17">
      <c r="A17" s="7" t="inlineStr">
        <is>
          <t xml:space="preserve">PER-016</t>
        </is>
      </c>
      <c r="B17" s="10" t="inlineStr">
        <is>
          <t xml:space="preserve">POR REGISTRAR</t>
        </is>
      </c>
      <c r="C17" s="7" t="inlineStr">
        <is>
          <t xml:space="preserve">VANIA GRAGEDA ESPINOZA</t>
        </is>
      </c>
      <c r="D17" s="10" t="inlineStr">
        <is>
          <t xml:space="preserve">AFILIADOR</t>
        </is>
      </c>
      <c r="E17" s="7" t="inlineStr">
        <is>
          <t xml:space="preserve">PAMELA FANNY CALANI LAURA</t>
        </is>
      </c>
      <c r="F17" s="7" t="inlineStr">
        <is>
          <t xml:space="preserve">COCHABAMBA</t>
        </is>
      </c>
      <c r="G17" s="10" t="inlineStr">
        <is>
          <t xml:space="preserve">ACTIVO</t>
        </is>
      </c>
      <c r="H17" s="10" t="inlineStr">
        <is>
          <t xml:space="preserve">BEX-0013</t>
        </is>
      </c>
      <c r="I17" s="10" t="inlineStr">
        <is>
          <t xml:space="preserve"/>
        </is>
      </c>
      <c r="J17" s="7" t="inlineStr">
        <is>
          <t xml:space="preserve"/>
        </is>
      </c>
    </row>
    <row r="18">
      <c r="A18" s="7" t="inlineStr">
        <is>
          <t xml:space="preserve">PER-017</t>
        </is>
      </c>
      <c r="B18" s="10" t="inlineStr">
        <is>
          <t xml:space="preserve">POR REGISTRAR</t>
        </is>
      </c>
      <c r="C18" s="7" t="inlineStr">
        <is>
          <t xml:space="preserve">VLADIMIR SUTURI TOCOCARI</t>
        </is>
      </c>
      <c r="D18" s="10" t="inlineStr">
        <is>
          <t xml:space="preserve">AFILIADOR</t>
        </is>
      </c>
      <c r="E18" s="7" t="inlineStr">
        <is>
          <t xml:space="preserve">PAMELA FANNY CALANI LAURA</t>
        </is>
      </c>
      <c r="F18" s="7" t="inlineStr">
        <is>
          <t xml:space="preserve">COCHABAMBA</t>
        </is>
      </c>
      <c r="G18" s="10" t="inlineStr">
        <is>
          <t xml:space="preserve">ACTIVO</t>
        </is>
      </c>
      <c r="H18" s="10" t="inlineStr">
        <is>
          <t xml:space="preserve">BEX-0011</t>
        </is>
      </c>
      <c r="I18" s="10" t="inlineStr">
        <is>
          <t xml:space="preserve"/>
        </is>
      </c>
      <c r="J18" s="7" t="inlineStr">
        <is>
          <t xml:space="preserve"/>
        </is>
      </c>
    </row>
    <row r="19">
      <c r="A19" s="7" t="inlineStr">
        <is>
          <t xml:space="preserve">PER-018</t>
        </is>
      </c>
      <c r="B19" s="10" t="inlineStr">
        <is>
          <t xml:space="preserve">POR REGISTRAR</t>
        </is>
      </c>
      <c r="C19" s="7" t="inlineStr">
        <is>
          <t xml:space="preserve">JHOJAN JAIRO CALLAHUARA CHOQUE</t>
        </is>
      </c>
      <c r="D19" s="10" t="inlineStr">
        <is>
          <t xml:space="preserve">AFILIADOR</t>
        </is>
      </c>
      <c r="E19" s="7" t="inlineStr">
        <is>
          <t xml:space="preserve">PAMELA FANNY CALANI LAURA</t>
        </is>
      </c>
      <c r="F19" s="7" t="inlineStr">
        <is>
          <t xml:space="preserve">COCHABAMBA</t>
        </is>
      </c>
      <c r="G19" s="10" t="inlineStr">
        <is>
          <t xml:space="preserve">ACTIVO</t>
        </is>
      </c>
      <c r="H19" s="10" t="inlineStr">
        <is>
          <t xml:space="preserve">BEX-0020</t>
        </is>
      </c>
      <c r="I19" s="10" t="inlineStr">
        <is>
          <t xml:space="preserve"/>
        </is>
      </c>
      <c r="J19" s="7" t="inlineStr">
        <is>
          <t xml:space="preserve"/>
        </is>
      </c>
    </row>
    <row r="20">
      <c r="A20" s="7" t="inlineStr">
        <is>
          <t xml:space="preserve">PER-019</t>
        </is>
      </c>
      <c r="B20" s="10" t="inlineStr">
        <is>
          <t xml:space="preserve">POR REGISTRAR</t>
        </is>
      </c>
      <c r="C20" s="7" t="inlineStr">
        <is>
          <t xml:space="preserve">NATALIA VILLARROEL</t>
        </is>
      </c>
      <c r="D20" s="10" t="inlineStr">
        <is>
          <t xml:space="preserve">SUPERVISOR</t>
        </is>
      </c>
      <c r="E20" s="7" t="inlineStr">
        <is>
          <t xml:space="preserve">NATALIA VILLARROEL</t>
        </is>
      </c>
      <c r="F20" s="7" t="inlineStr">
        <is>
          <t xml:space="preserve">COCHABAMBA</t>
        </is>
      </c>
      <c r="G20" s="10" t="inlineStr">
        <is>
          <t xml:space="preserve">ACTIVO</t>
        </is>
      </c>
      <c r="H20" s="10" t="inlineStr">
        <is>
          <t xml:space="preserve"/>
        </is>
      </c>
      <c r="I20" s="10" t="inlineStr">
        <is>
          <t xml:space="preserve"/>
        </is>
      </c>
      <c r="J20" s="7" t="inlineStr">
        <is>
          <t xml:space="preserve">Supervisor registrado en ENTREGADOS - datos incompletos</t>
        </is>
      </c>
    </row>
    <row r="21">
      <c r="A21" s="7" t="inlineStr">
        <is>
          <t xml:space="preserve">PER-020</t>
        </is>
      </c>
      <c r="B21" s="10" t="inlineStr">
        <is>
          <t xml:space="preserve">POR REGISTRAR</t>
        </is>
      </c>
      <c r="C21" s="7" t="inlineStr">
        <is>
          <t xml:space="preserve">CLAUDIA SHASKIA CALLE NINA</t>
        </is>
      </c>
      <c r="D21" s="10" t="inlineStr">
        <is>
          <t xml:space="preserve">SUPERVISOR</t>
        </is>
      </c>
      <c r="E21" s="7" t="inlineStr">
        <is>
          <t xml:space="preserve">CLAUDIA SHASKIA CALLE NINA</t>
        </is>
      </c>
      <c r="F21" s="7" t="inlineStr">
        <is>
          <t xml:space="preserve">LA PAZ</t>
        </is>
      </c>
      <c r="G21" s="10" t="inlineStr">
        <is>
          <t xml:space="preserve">ACTIVO</t>
        </is>
      </c>
      <c r="H21" s="10" t="inlineStr">
        <is>
          <t xml:space="preserve">BEX-0176</t>
        </is>
      </c>
      <c r="I21" s="10" t="inlineStr">
        <is>
          <t xml:space="preserve"/>
        </is>
      </c>
      <c r="J21" s="7" t="inlineStr">
        <is>
          <t xml:space="preserve">⚠️ BEX-0176 DUPLICADO - verificar con REYNA IVONNE</t>
        </is>
      </c>
    </row>
    <row r="22">
      <c r="A22" s="7" t="inlineStr">
        <is>
          <t xml:space="preserve">PER-021</t>
        </is>
      </c>
      <c r="B22" s="10" t="inlineStr">
        <is>
          <t xml:space="preserve">POR REGISTRAR</t>
        </is>
      </c>
      <c r="C22" s="7" t="inlineStr">
        <is>
          <t xml:space="preserve">AARON PEDRO CHUQUIMIA CHAIRA</t>
        </is>
      </c>
      <c r="D22" s="10" t="inlineStr">
        <is>
          <t xml:space="preserve">AFILIADOR</t>
        </is>
      </c>
      <c r="E22" s="7" t="inlineStr">
        <is>
          <t xml:space="preserve">CLAUDIA SHASKIA CALLE NINA</t>
        </is>
      </c>
      <c r="F22" s="7" t="inlineStr">
        <is>
          <t xml:space="preserve">LA PAZ</t>
        </is>
      </c>
      <c r="G22" s="10" t="inlineStr">
        <is>
          <t xml:space="preserve">ACTIVO</t>
        </is>
      </c>
      <c r="H22" s="10" t="inlineStr">
        <is>
          <t xml:space="preserve">BEX-0162</t>
        </is>
      </c>
      <c r="I22" s="10" t="inlineStr">
        <is>
          <t xml:space="preserve"/>
        </is>
      </c>
      <c r="J22" s="7" t="inlineStr">
        <is>
          <t xml:space="preserve"/>
        </is>
      </c>
    </row>
    <row r="23">
      <c r="A23" s="7" t="inlineStr">
        <is>
          <t xml:space="preserve">PER-022</t>
        </is>
      </c>
      <c r="B23" s="10" t="inlineStr">
        <is>
          <t xml:space="preserve">POR REGISTRAR</t>
        </is>
      </c>
      <c r="C23" s="7" t="inlineStr">
        <is>
          <t xml:space="preserve">EIMI SONIA CHUQUIMIA CHAIRA</t>
        </is>
      </c>
      <c r="D23" s="10" t="inlineStr">
        <is>
          <t xml:space="preserve">AFILIADOR</t>
        </is>
      </c>
      <c r="E23" s="7" t="inlineStr">
        <is>
          <t xml:space="preserve">CLAUDIA SHASKIA CALLE NINA</t>
        </is>
      </c>
      <c r="F23" s="7" t="inlineStr">
        <is>
          <t xml:space="preserve">LA PAZ</t>
        </is>
      </c>
      <c r="G23" s="10" t="inlineStr">
        <is>
          <t xml:space="preserve">ACTIVO</t>
        </is>
      </c>
      <c r="H23" s="10" t="inlineStr">
        <is>
          <t xml:space="preserve">BEX-0112</t>
        </is>
      </c>
      <c r="I23" s="10" t="inlineStr">
        <is>
          <t xml:space="preserve"/>
        </is>
      </c>
      <c r="J23" s="7" t="inlineStr">
        <is>
          <t xml:space="preserve"/>
        </is>
      </c>
    </row>
    <row r="24">
      <c r="A24" s="7" t="inlineStr">
        <is>
          <t xml:space="preserve">PER-023</t>
        </is>
      </c>
      <c r="B24" s="10" t="inlineStr">
        <is>
          <t xml:space="preserve">POR REGISTRAR</t>
        </is>
      </c>
      <c r="C24" s="7" t="inlineStr">
        <is>
          <t xml:space="preserve">LUZ NATALIA HUANAPACO PENA</t>
        </is>
      </c>
      <c r="D24" s="10" t="inlineStr">
        <is>
          <t xml:space="preserve">AFILIADOR</t>
        </is>
      </c>
      <c r="E24" s="7" t="inlineStr">
        <is>
          <t xml:space="preserve">CLAUDIA SHASKIA CALLE NINA</t>
        </is>
      </c>
      <c r="F24" s="7" t="inlineStr">
        <is>
          <t xml:space="preserve">LA PAZ</t>
        </is>
      </c>
      <c r="G24" s="10" t="inlineStr">
        <is>
          <t xml:space="preserve">INACTIVO</t>
        </is>
      </c>
      <c r="H24" s="10" t="inlineStr">
        <is>
          <t xml:space="preserve"/>
        </is>
      </c>
      <c r="I24" s="10" t="inlineStr">
        <is>
          <t xml:space="preserve"/>
        </is>
      </c>
      <c r="J24" s="7" t="inlineStr">
        <is>
          <t xml:space="preserve"/>
        </is>
      </c>
    </row>
    <row r="25">
      <c r="A25" s="7" t="inlineStr">
        <is>
          <t xml:space="preserve">PER-024</t>
        </is>
      </c>
      <c r="B25" s="10" t="inlineStr">
        <is>
          <t xml:space="preserve">POR REGISTRAR</t>
        </is>
      </c>
      <c r="C25" s="7" t="inlineStr">
        <is>
          <t xml:space="preserve">MIGUEL ANGEL BLANCO RONDO</t>
        </is>
      </c>
      <c r="D25" s="10" t="inlineStr">
        <is>
          <t xml:space="preserve">AFILIADOR</t>
        </is>
      </c>
      <c r="E25" s="7" t="inlineStr">
        <is>
          <t xml:space="preserve">CLAUDIA SHASKIA CALLE NINA</t>
        </is>
      </c>
      <c r="F25" s="7" t="inlineStr">
        <is>
          <t xml:space="preserve">LA PAZ</t>
        </is>
      </c>
      <c r="G25" s="10" t="inlineStr">
        <is>
          <t xml:space="preserve">ACTIVO</t>
        </is>
      </c>
      <c r="H25" s="10" t="inlineStr">
        <is>
          <t xml:space="preserve">BEX-0169</t>
        </is>
      </c>
      <c r="I25" s="10" t="inlineStr">
        <is>
          <t xml:space="preserve"/>
        </is>
      </c>
      <c r="J25" s="7" t="inlineStr">
        <is>
          <t xml:space="preserve"/>
        </is>
      </c>
    </row>
    <row r="26">
      <c r="A26" s="7" t="inlineStr">
        <is>
          <t xml:space="preserve">PER-025</t>
        </is>
      </c>
      <c r="B26" s="10" t="inlineStr">
        <is>
          <t xml:space="preserve">POR REGISTRAR</t>
        </is>
      </c>
      <c r="C26" s="7" t="inlineStr">
        <is>
          <t xml:space="preserve">REYNA IVONNE CALLE NINA</t>
        </is>
      </c>
      <c r="D26" s="10" t="inlineStr">
        <is>
          <t xml:space="preserve">AFILIADOR</t>
        </is>
      </c>
      <c r="E26" s="7" t="inlineStr">
        <is>
          <t xml:space="preserve">CLAUDIA SHASKIA CALLE NINA</t>
        </is>
      </c>
      <c r="F26" s="7" t="inlineStr">
        <is>
          <t xml:space="preserve">LA PAZ</t>
        </is>
      </c>
      <c r="G26" s="10" t="inlineStr">
        <is>
          <t xml:space="preserve">ACTIVO</t>
        </is>
      </c>
      <c r="H26" s="10" t="inlineStr">
        <is>
          <t xml:space="preserve">BEX-0176</t>
        </is>
      </c>
      <c r="I26" s="10" t="inlineStr">
        <is>
          <t xml:space="preserve"/>
        </is>
      </c>
      <c r="J26" s="7" t="inlineStr">
        <is>
          <t xml:space="preserve">⚠️ BEX-0176 DUPLICADO - misma credencial que CLAUDIA SHASKIA</t>
        </is>
      </c>
    </row>
    <row r="27">
      <c r="A27" s="7" t="inlineStr">
        <is>
          <t xml:space="preserve">PER-026</t>
        </is>
      </c>
      <c r="B27" s="10" t="inlineStr">
        <is>
          <t xml:space="preserve">POR REGISTRAR</t>
        </is>
      </c>
      <c r="C27" s="7" t="inlineStr">
        <is>
          <t xml:space="preserve">RUBEN ANTONIO HINOJOSA TUPA</t>
        </is>
      </c>
      <c r="D27" s="10" t="inlineStr">
        <is>
          <t xml:space="preserve">AFILIADOR</t>
        </is>
      </c>
      <c r="E27" s="7" t="inlineStr">
        <is>
          <t xml:space="preserve">CLAUDIA SHASKIA CALLE NINA</t>
        </is>
      </c>
      <c r="F27" s="7" t="inlineStr">
        <is>
          <t xml:space="preserve">LA PAZ</t>
        </is>
      </c>
      <c r="G27" s="10" t="inlineStr">
        <is>
          <t xml:space="preserve">ACTIVO</t>
        </is>
      </c>
      <c r="H27" s="10" t="inlineStr">
        <is>
          <t xml:space="preserve">BEX-0120</t>
        </is>
      </c>
      <c r="I27" s="10" t="inlineStr">
        <is>
          <t xml:space="preserve"/>
        </is>
      </c>
      <c r="J27" s="7" t="inlineStr">
        <is>
          <t xml:space="preserve"/>
        </is>
      </c>
    </row>
    <row r="28">
      <c r="A28" s="7" t="inlineStr">
        <is>
          <t xml:space="preserve">PER-027</t>
        </is>
      </c>
      <c r="B28" s="10" t="inlineStr">
        <is>
          <t xml:space="preserve">POR REGISTRAR</t>
        </is>
      </c>
      <c r="C28" s="7" t="inlineStr">
        <is>
          <t xml:space="preserve">SAMIEL ARTURO TORRICOS VILLARREAL</t>
        </is>
      </c>
      <c r="D28" s="10" t="inlineStr">
        <is>
          <t xml:space="preserve">AFILIADOR</t>
        </is>
      </c>
      <c r="E28" s="7" t="inlineStr">
        <is>
          <t xml:space="preserve">CLAUDIA SHASKIA CALLE NINA</t>
        </is>
      </c>
      <c r="F28" s="7" t="inlineStr">
        <is>
          <t xml:space="preserve">LA PAZ</t>
        </is>
      </c>
      <c r="G28" s="10" t="inlineStr">
        <is>
          <t xml:space="preserve">ACTIVO</t>
        </is>
      </c>
      <c r="H28" s="10" t="inlineStr">
        <is>
          <t xml:space="preserve">BEX-0151</t>
        </is>
      </c>
      <c r="I28" s="10" t="inlineStr">
        <is>
          <t xml:space="preserve"/>
        </is>
      </c>
      <c r="J28" s="7" t="inlineStr">
        <is>
          <t xml:space="preserve"/>
        </is>
      </c>
    </row>
    <row r="29">
      <c r="A29" s="7" t="inlineStr">
        <is>
          <t xml:space="preserve">PER-028</t>
        </is>
      </c>
      <c r="B29" s="10" t="inlineStr">
        <is>
          <t xml:space="preserve">POR REGISTRAR</t>
        </is>
      </c>
      <c r="C29" s="7" t="inlineStr">
        <is>
          <t xml:space="preserve">DANIELA LUCERO FLAVIA MIRANDA</t>
        </is>
      </c>
      <c r="D29" s="10" t="inlineStr">
        <is>
          <t xml:space="preserve">AFILIADOR</t>
        </is>
      </c>
      <c r="E29" s="7" t="inlineStr">
        <is>
          <t xml:space="preserve">CLAUDIA SHASKIA CALLE NINA</t>
        </is>
      </c>
      <c r="F29" s="7" t="inlineStr">
        <is>
          <t xml:space="preserve">LA PAZ</t>
        </is>
      </c>
      <c r="G29" s="10" t="inlineStr">
        <is>
          <t xml:space="preserve">ACTIVO</t>
        </is>
      </c>
      <c r="H29" s="10" t="inlineStr">
        <is>
          <t xml:space="preserve">BEX-0368</t>
        </is>
      </c>
      <c r="I29" s="10" t="inlineStr">
        <is>
          <t xml:space="preserve"/>
        </is>
      </c>
      <c r="J29" s="7" t="inlineStr">
        <is>
          <t xml:space="preserve"/>
        </is>
      </c>
    </row>
    <row r="30">
      <c r="A30" s="7" t="inlineStr">
        <is>
          <t xml:space="preserve">PER-029</t>
        </is>
      </c>
      <c r="B30" s="10" t="inlineStr">
        <is>
          <t xml:space="preserve">POR REGISTRAR</t>
        </is>
      </c>
      <c r="C30" s="7" t="inlineStr">
        <is>
          <t xml:space="preserve">GERCY EVER ERGUETA KIPPES</t>
        </is>
      </c>
      <c r="D30" s="10" t="inlineStr">
        <is>
          <t xml:space="preserve">SUPERVISOR</t>
        </is>
      </c>
      <c r="E30" s="7" t="inlineStr">
        <is>
          <t xml:space="preserve">GERCY EVER ERGUETA KIPPES</t>
        </is>
      </c>
      <c r="F30" s="7" t="inlineStr">
        <is>
          <t xml:space="preserve">LA PAZ</t>
        </is>
      </c>
      <c r="G30" s="10" t="inlineStr">
        <is>
          <t xml:space="preserve">ACTIVO</t>
        </is>
      </c>
      <c r="H30" s="10" t="inlineStr">
        <is>
          <t xml:space="preserve">BEX-2038</t>
        </is>
      </c>
      <c r="I30" s="10" t="inlineStr">
        <is>
          <t xml:space="preserve"/>
        </is>
      </c>
      <c r="J30" s="7" t="inlineStr">
        <is>
          <t xml:space="preserve">Nueva credencial asignada</t>
        </is>
      </c>
    </row>
    <row r="31">
      <c r="A31" s="7" t="inlineStr">
        <is>
          <t xml:space="preserve">PER-030</t>
        </is>
      </c>
      <c r="B31" s="10" t="inlineStr">
        <is>
          <t xml:space="preserve">POR REGISTRAR</t>
        </is>
      </c>
      <c r="C31" s="7" t="inlineStr">
        <is>
          <t xml:space="preserve">ABIGAIL HUANACO TICONA</t>
        </is>
      </c>
      <c r="D31" s="10" t="inlineStr">
        <is>
          <t xml:space="preserve">AFILIADOR</t>
        </is>
      </c>
      <c r="E31" s="7" t="inlineStr">
        <is>
          <t xml:space="preserve">GERCY EVER ERGUETA KIPPES</t>
        </is>
      </c>
      <c r="F31" s="7" t="inlineStr">
        <is>
          <t xml:space="preserve">LA PAZ</t>
        </is>
      </c>
      <c r="G31" s="10" t="inlineStr">
        <is>
          <t xml:space="preserve">INACTIVO</t>
        </is>
      </c>
      <c r="H31" s="10" t="inlineStr">
        <is>
          <t xml:space="preserve"/>
        </is>
      </c>
      <c r="I31" s="10" t="inlineStr">
        <is>
          <t xml:space="preserve"/>
        </is>
      </c>
      <c r="J31" s="7" t="inlineStr">
        <is>
          <t xml:space="preserve"/>
        </is>
      </c>
    </row>
    <row r="32">
      <c r="A32" s="7" t="inlineStr">
        <is>
          <t xml:space="preserve">PER-031</t>
        </is>
      </c>
      <c r="B32" s="10" t="inlineStr">
        <is>
          <t xml:space="preserve">POR REGISTRAR</t>
        </is>
      </c>
      <c r="C32" s="7" t="inlineStr">
        <is>
          <t xml:space="preserve">ALEXIA MICAELA ERGUETA ALIAGA</t>
        </is>
      </c>
      <c r="D32" s="10" t="inlineStr">
        <is>
          <t xml:space="preserve">AFILIADOR</t>
        </is>
      </c>
      <c r="E32" s="7" t="inlineStr">
        <is>
          <t xml:space="preserve">GERCY EVER ERGUETA KIPPES</t>
        </is>
      </c>
      <c r="F32" s="7" t="inlineStr">
        <is>
          <t xml:space="preserve">LA PAZ</t>
        </is>
      </c>
      <c r="G32" s="10" t="inlineStr">
        <is>
          <t xml:space="preserve">ACTIVO</t>
        </is>
      </c>
      <c r="H32" s="10" t="inlineStr">
        <is>
          <t xml:space="preserve">BEX-2037</t>
        </is>
      </c>
      <c r="I32" s="10" t="inlineStr">
        <is>
          <t xml:space="preserve"/>
        </is>
      </c>
      <c r="J32" s="7" t="inlineStr">
        <is>
          <t xml:space="preserve"/>
        </is>
      </c>
    </row>
    <row r="33">
      <c r="A33" s="7" t="inlineStr">
        <is>
          <t xml:space="preserve">PER-032</t>
        </is>
      </c>
      <c r="B33" s="10" t="inlineStr">
        <is>
          <t xml:space="preserve">POR REGISTRAR</t>
        </is>
      </c>
      <c r="C33" s="7" t="inlineStr">
        <is>
          <t xml:space="preserve">ALVARO CIMAR MAMANI PRADO</t>
        </is>
      </c>
      <c r="D33" s="10" t="inlineStr">
        <is>
          <t xml:space="preserve">AFILIADOR</t>
        </is>
      </c>
      <c r="E33" s="7" t="inlineStr">
        <is>
          <t xml:space="preserve">GERCY EVER ERGUETA KIPPES</t>
        </is>
      </c>
      <c r="F33" s="7" t="inlineStr">
        <is>
          <t xml:space="preserve">LA PAZ</t>
        </is>
      </c>
      <c r="G33" s="10" t="inlineStr">
        <is>
          <t xml:space="preserve">INACTIVO</t>
        </is>
      </c>
      <c r="H33" s="10" t="inlineStr">
        <is>
          <t xml:space="preserve"/>
        </is>
      </c>
      <c r="I33" s="10" t="inlineStr">
        <is>
          <t xml:space="preserve"/>
        </is>
      </c>
      <c r="J33" s="7" t="inlineStr">
        <is>
          <t xml:space="preserve"/>
        </is>
      </c>
    </row>
    <row r="34">
      <c r="A34" s="7" t="inlineStr">
        <is>
          <t xml:space="preserve">PER-033</t>
        </is>
      </c>
      <c r="B34" s="10" t="inlineStr">
        <is>
          <t xml:space="preserve">POR REGISTRAR</t>
        </is>
      </c>
      <c r="C34" s="7" t="inlineStr">
        <is>
          <t xml:space="preserve">ANA GABRIELA CONDORI HERRERA</t>
        </is>
      </c>
      <c r="D34" s="10" t="inlineStr">
        <is>
          <t xml:space="preserve">AFILIADOR</t>
        </is>
      </c>
      <c r="E34" s="7" t="inlineStr">
        <is>
          <t xml:space="preserve">GERCY EVER ERGUETA KIPPES</t>
        </is>
      </c>
      <c r="F34" s="7" t="inlineStr">
        <is>
          <t xml:space="preserve">LA PAZ</t>
        </is>
      </c>
      <c r="G34" s="10" t="inlineStr">
        <is>
          <t xml:space="preserve">INACTIVO</t>
        </is>
      </c>
      <c r="H34" s="10" t="inlineStr">
        <is>
          <t xml:space="preserve"/>
        </is>
      </c>
      <c r="I34" s="10" t="inlineStr">
        <is>
          <t xml:space="preserve"/>
        </is>
      </c>
      <c r="J34" s="7" t="inlineStr">
        <is>
          <t xml:space="preserve"/>
        </is>
      </c>
    </row>
    <row r="35">
      <c r="A35" s="7" t="inlineStr">
        <is>
          <t xml:space="preserve">PER-034</t>
        </is>
      </c>
      <c r="B35" s="10" t="inlineStr">
        <is>
          <t xml:space="preserve">POR REGISTRAR</t>
        </is>
      </c>
      <c r="C35" s="7" t="inlineStr">
        <is>
          <t xml:space="preserve">BENJAMIN CHUQUIMIA CORDERO</t>
        </is>
      </c>
      <c r="D35" s="10" t="inlineStr">
        <is>
          <t xml:space="preserve">AFILIADOR</t>
        </is>
      </c>
      <c r="E35" s="7" t="inlineStr">
        <is>
          <t xml:space="preserve">GERCY EVER ERGUETA KIPPES</t>
        </is>
      </c>
      <c r="F35" s="7" t="inlineStr">
        <is>
          <t xml:space="preserve">LA PAZ</t>
        </is>
      </c>
      <c r="G35" s="10" t="inlineStr">
        <is>
          <t xml:space="preserve">INACTIVO</t>
        </is>
      </c>
      <c r="H35" s="10" t="inlineStr">
        <is>
          <t xml:space="preserve"/>
        </is>
      </c>
      <c r="I35" s="10" t="inlineStr">
        <is>
          <t xml:space="preserve"/>
        </is>
      </c>
      <c r="J35" s="7" t="inlineStr">
        <is>
          <t xml:space="preserve"/>
        </is>
      </c>
    </row>
    <row r="36">
      <c r="A36" s="7" t="inlineStr">
        <is>
          <t xml:space="preserve">PER-035</t>
        </is>
      </c>
      <c r="B36" s="10" t="inlineStr">
        <is>
          <t xml:space="preserve">POR REGISTRAR</t>
        </is>
      </c>
      <c r="C36" s="7" t="inlineStr">
        <is>
          <t xml:space="preserve">DARING ACARAPI MAMANI</t>
        </is>
      </c>
      <c r="D36" s="10" t="inlineStr">
        <is>
          <t xml:space="preserve">AFILIADOR</t>
        </is>
      </c>
      <c r="E36" s="7" t="inlineStr">
        <is>
          <t xml:space="preserve">GERCY EVER ERGUETA KIPPES</t>
        </is>
      </c>
      <c r="F36" s="7" t="inlineStr">
        <is>
          <t xml:space="preserve">LA PAZ</t>
        </is>
      </c>
      <c r="G36" s="10" t="inlineStr">
        <is>
          <t xml:space="preserve">ACTIVO</t>
        </is>
      </c>
      <c r="H36" s="10" t="inlineStr">
        <is>
          <t xml:space="preserve">BEX-0184</t>
        </is>
      </c>
      <c r="I36" s="10" t="inlineStr">
        <is>
          <t xml:space="preserve"/>
        </is>
      </c>
      <c r="J36" s="7" t="inlineStr">
        <is>
          <t xml:space="preserve"/>
        </is>
      </c>
    </row>
    <row r="37">
      <c r="A37" s="7" t="inlineStr">
        <is>
          <t xml:space="preserve">PER-036</t>
        </is>
      </c>
      <c r="B37" s="10" t="inlineStr">
        <is>
          <t xml:space="preserve">POR REGISTRAR</t>
        </is>
      </c>
      <c r="C37" s="7" t="inlineStr">
        <is>
          <t xml:space="preserve">GIOVANA TOLA CASACA</t>
        </is>
      </c>
      <c r="D37" s="10" t="inlineStr">
        <is>
          <t xml:space="preserve">AFILIADOR</t>
        </is>
      </c>
      <c r="E37" s="7" t="inlineStr">
        <is>
          <t xml:space="preserve">GERCY EVER ERGUETA KIPPES</t>
        </is>
      </c>
      <c r="F37" s="7" t="inlineStr">
        <is>
          <t xml:space="preserve">LA PAZ</t>
        </is>
      </c>
      <c r="G37" s="10" t="inlineStr">
        <is>
          <t xml:space="preserve">INACTIVO</t>
        </is>
      </c>
      <c r="H37" s="10" t="inlineStr">
        <is>
          <t xml:space="preserve"/>
        </is>
      </c>
      <c r="I37" s="10" t="inlineStr">
        <is>
          <t xml:space="preserve"/>
        </is>
      </c>
      <c r="J37" s="7" t="inlineStr">
        <is>
          <t xml:space="preserve"/>
        </is>
      </c>
    </row>
    <row r="38">
      <c r="A38" s="7" t="inlineStr">
        <is>
          <t xml:space="preserve">PER-037</t>
        </is>
      </c>
      <c r="B38" s="10" t="inlineStr">
        <is>
          <t xml:space="preserve">POR REGISTRAR</t>
        </is>
      </c>
      <c r="C38" s="7" t="inlineStr">
        <is>
          <t xml:space="preserve">HARRY JHONNY CRUZ MALLQUI</t>
        </is>
      </c>
      <c r="D38" s="10" t="inlineStr">
        <is>
          <t xml:space="preserve">AFILIADOR</t>
        </is>
      </c>
      <c r="E38" s="7" t="inlineStr">
        <is>
          <t xml:space="preserve">GERCY EVER ERGUETA KIPPES</t>
        </is>
      </c>
      <c r="F38" s="7" t="inlineStr">
        <is>
          <t xml:space="preserve">LA PAZ</t>
        </is>
      </c>
      <c r="G38" s="10" t="inlineStr">
        <is>
          <t xml:space="preserve">INACTIVO</t>
        </is>
      </c>
      <c r="H38" s="10" t="inlineStr">
        <is>
          <t xml:space="preserve"/>
        </is>
      </c>
      <c r="I38" s="10" t="inlineStr">
        <is>
          <t xml:space="preserve"/>
        </is>
      </c>
      <c r="J38" s="7" t="inlineStr">
        <is>
          <t xml:space="preserve"/>
        </is>
      </c>
    </row>
    <row r="39">
      <c r="A39" s="7" t="inlineStr">
        <is>
          <t xml:space="preserve">PER-038</t>
        </is>
      </c>
      <c r="B39" s="10" t="inlineStr">
        <is>
          <t xml:space="preserve">POR REGISTRAR</t>
        </is>
      </c>
      <c r="C39" s="7" t="inlineStr">
        <is>
          <t xml:space="preserve">JHOSELYN DANIELA MANZANEDA CHINO</t>
        </is>
      </c>
      <c r="D39" s="10" t="inlineStr">
        <is>
          <t xml:space="preserve">AFILIADOR</t>
        </is>
      </c>
      <c r="E39" s="7" t="inlineStr">
        <is>
          <t xml:space="preserve">GERCY EVER ERGUETA KIPPES</t>
        </is>
      </c>
      <c r="F39" s="7" t="inlineStr">
        <is>
          <t xml:space="preserve">LA PAZ</t>
        </is>
      </c>
      <c r="G39" s="10" t="inlineStr">
        <is>
          <t xml:space="preserve">INACTIVO</t>
        </is>
      </c>
      <c r="H39" s="10" t="inlineStr">
        <is>
          <t xml:space="preserve"/>
        </is>
      </c>
      <c r="I39" s="10" t="inlineStr">
        <is>
          <t xml:space="preserve"/>
        </is>
      </c>
      <c r="J39" s="7" t="inlineStr">
        <is>
          <t xml:space="preserve"/>
        </is>
      </c>
    </row>
    <row r="40">
      <c r="A40" s="7" t="inlineStr">
        <is>
          <t xml:space="preserve">PER-039</t>
        </is>
      </c>
      <c r="B40" s="10" t="inlineStr">
        <is>
          <t xml:space="preserve">POR REGISTRAR</t>
        </is>
      </c>
      <c r="C40" s="7" t="inlineStr">
        <is>
          <t xml:space="preserve">LAURA VANESSA QUISPE MAMANI</t>
        </is>
      </c>
      <c r="D40" s="10" t="inlineStr">
        <is>
          <t xml:space="preserve">AFILIADOR</t>
        </is>
      </c>
      <c r="E40" s="7" t="inlineStr">
        <is>
          <t xml:space="preserve">GERCY EVER ERGUETA KIPPES</t>
        </is>
      </c>
      <c r="F40" s="7" t="inlineStr">
        <is>
          <t xml:space="preserve">LA PAZ</t>
        </is>
      </c>
      <c r="G40" s="10" t="inlineStr">
        <is>
          <t xml:space="preserve">INACTIVO</t>
        </is>
      </c>
      <c r="H40" s="10" t="inlineStr">
        <is>
          <t xml:space="preserve"/>
        </is>
      </c>
      <c r="I40" s="10" t="inlineStr">
        <is>
          <t xml:space="preserve"/>
        </is>
      </c>
      <c r="J40" s="7" t="inlineStr">
        <is>
          <t xml:space="preserve"/>
        </is>
      </c>
    </row>
    <row r="41">
      <c r="A41" s="7" t="inlineStr">
        <is>
          <t xml:space="preserve">PER-040</t>
        </is>
      </c>
      <c r="B41" s="10" t="inlineStr">
        <is>
          <t xml:space="preserve">POR REGISTRAR</t>
        </is>
      </c>
      <c r="C41" s="7" t="inlineStr">
        <is>
          <t xml:space="preserve">LIVIA VIOLETA QUISPE CONDORI</t>
        </is>
      </c>
      <c r="D41" s="10" t="inlineStr">
        <is>
          <t xml:space="preserve">AFILIADOR</t>
        </is>
      </c>
      <c r="E41" s="7" t="inlineStr">
        <is>
          <t xml:space="preserve">GERCY EVER ERGUETA KIPPES</t>
        </is>
      </c>
      <c r="F41" s="7" t="inlineStr">
        <is>
          <t xml:space="preserve">LA PAZ</t>
        </is>
      </c>
      <c r="G41" s="10" t="inlineStr">
        <is>
          <t xml:space="preserve">INACTIVO</t>
        </is>
      </c>
      <c r="H41" s="10" t="inlineStr">
        <is>
          <t xml:space="preserve"/>
        </is>
      </c>
      <c r="I41" s="10" t="inlineStr">
        <is>
          <t xml:space="preserve"/>
        </is>
      </c>
      <c r="J41" s="7" t="inlineStr">
        <is>
          <t xml:space="preserve"/>
        </is>
      </c>
    </row>
    <row r="42">
      <c r="A42" s="7" t="inlineStr">
        <is>
          <t xml:space="preserve">PER-041</t>
        </is>
      </c>
      <c r="B42" s="10" t="inlineStr">
        <is>
          <t xml:space="preserve">POR REGISTRAR</t>
        </is>
      </c>
      <c r="C42" s="7" t="inlineStr">
        <is>
          <t xml:space="preserve">PATRICIA ANGELICA HUAYLLAS PAYE</t>
        </is>
      </c>
      <c r="D42" s="10" t="inlineStr">
        <is>
          <t xml:space="preserve">AFILIADOR</t>
        </is>
      </c>
      <c r="E42" s="7" t="inlineStr">
        <is>
          <t xml:space="preserve">GERCY EVER ERGUETA KIPPES</t>
        </is>
      </c>
      <c r="F42" s="7" t="inlineStr">
        <is>
          <t xml:space="preserve">LA PAZ</t>
        </is>
      </c>
      <c r="G42" s="10" t="inlineStr">
        <is>
          <t xml:space="preserve">INACTIVO</t>
        </is>
      </c>
      <c r="H42" s="10" t="inlineStr">
        <is>
          <t xml:space="preserve"/>
        </is>
      </c>
      <c r="I42" s="10" t="inlineStr">
        <is>
          <t xml:space="preserve"/>
        </is>
      </c>
      <c r="J42" s="7" t="inlineStr">
        <is>
          <t xml:space="preserve"/>
        </is>
      </c>
    </row>
    <row r="43">
      <c r="A43" s="7" t="inlineStr">
        <is>
          <t xml:space="preserve">PER-042</t>
        </is>
      </c>
      <c r="B43" s="10" t="inlineStr">
        <is>
          <t xml:space="preserve">POR REGISTRAR</t>
        </is>
      </c>
      <c r="C43" s="7" t="inlineStr">
        <is>
          <t xml:space="preserve">RAFAELA RUBI MEDINA SORIA</t>
        </is>
      </c>
      <c r="D43" s="10" t="inlineStr">
        <is>
          <t xml:space="preserve">AFILIADOR</t>
        </is>
      </c>
      <c r="E43" s="7" t="inlineStr">
        <is>
          <t xml:space="preserve">GERCY EVER ERGUETA KIPPES</t>
        </is>
      </c>
      <c r="F43" s="7" t="inlineStr">
        <is>
          <t xml:space="preserve">LA PAZ</t>
        </is>
      </c>
      <c r="G43" s="10" t="inlineStr">
        <is>
          <t xml:space="preserve">INACTIVO</t>
        </is>
      </c>
      <c r="H43" s="10" t="inlineStr">
        <is>
          <t xml:space="preserve"/>
        </is>
      </c>
      <c r="I43" s="10" t="inlineStr">
        <is>
          <t xml:space="preserve"/>
        </is>
      </c>
      <c r="J43" s="7" t="inlineStr">
        <is>
          <t xml:space="preserve"/>
        </is>
      </c>
    </row>
    <row r="44">
      <c r="A44" s="7" t="inlineStr">
        <is>
          <t xml:space="preserve">PER-043</t>
        </is>
      </c>
      <c r="B44" s="10" t="inlineStr">
        <is>
          <t xml:space="preserve">POR REGISTRAR</t>
        </is>
      </c>
      <c r="C44" s="7" t="inlineStr">
        <is>
          <t xml:space="preserve">RONALD JHONATAN CUSICANQUI LAURA</t>
        </is>
      </c>
      <c r="D44" s="10" t="inlineStr">
        <is>
          <t xml:space="preserve">AFILIADOR</t>
        </is>
      </c>
      <c r="E44" s="7" t="inlineStr">
        <is>
          <t xml:space="preserve">GERCY EVER ERGUETA KIPPES</t>
        </is>
      </c>
      <c r="F44" s="7" t="inlineStr">
        <is>
          <t xml:space="preserve">LA PAZ</t>
        </is>
      </c>
      <c r="G44" s="10" t="inlineStr">
        <is>
          <t xml:space="preserve">INACTIVO</t>
        </is>
      </c>
      <c r="H44" s="10" t="inlineStr">
        <is>
          <t xml:space="preserve"/>
        </is>
      </c>
      <c r="I44" s="10" t="inlineStr">
        <is>
          <t xml:space="preserve"/>
        </is>
      </c>
      <c r="J44" s="7" t="inlineStr">
        <is>
          <t xml:space="preserve"/>
        </is>
      </c>
    </row>
    <row r="45">
      <c r="A45" s="7" t="inlineStr">
        <is>
          <t xml:space="preserve">PER-044</t>
        </is>
      </c>
      <c r="B45" s="10" t="inlineStr">
        <is>
          <t xml:space="preserve">POR REGISTRAR</t>
        </is>
      </c>
      <c r="C45" s="7" t="inlineStr">
        <is>
          <t xml:space="preserve">JHOSEP QUISBERT MAMANI</t>
        </is>
      </c>
      <c r="D45" s="10" t="inlineStr">
        <is>
          <t xml:space="preserve">AFILIADOR</t>
        </is>
      </c>
      <c r="E45" s="7" t="inlineStr">
        <is>
          <t xml:space="preserve">GERCY EVER ERGUETA KIPPES</t>
        </is>
      </c>
      <c r="F45" s="7" t="inlineStr">
        <is>
          <t xml:space="preserve">LA PAZ</t>
        </is>
      </c>
      <c r="G45" s="10" t="inlineStr">
        <is>
          <t xml:space="preserve">ACTIVO</t>
        </is>
      </c>
      <c r="H45" s="10" t="inlineStr">
        <is>
          <t xml:space="preserve">BEX-0107</t>
        </is>
      </c>
      <c r="I45" s="10" t="inlineStr">
        <is>
          <t xml:space="preserve"/>
        </is>
      </c>
      <c r="J45" s="7" t="inlineStr">
        <is>
          <t xml:space="preserve"/>
        </is>
      </c>
    </row>
    <row r="46">
      <c r="A46" s="7" t="inlineStr">
        <is>
          <t xml:space="preserve">PER-045</t>
        </is>
      </c>
      <c r="B46" s="10" t="inlineStr">
        <is>
          <t xml:space="preserve">POR REGISTRAR</t>
        </is>
      </c>
      <c r="C46" s="7" t="inlineStr">
        <is>
          <t xml:space="preserve">CAMILA LOZA MERINO</t>
        </is>
      </c>
      <c r="D46" s="10" t="inlineStr">
        <is>
          <t xml:space="preserve">AFILIADOR</t>
        </is>
      </c>
      <c r="E46" s="7" t="inlineStr">
        <is>
          <t xml:space="preserve">GERCY EVER ERGUETA KIPPES</t>
        </is>
      </c>
      <c r="F46" s="7" t="inlineStr">
        <is>
          <t xml:space="preserve">LA PAZ</t>
        </is>
      </c>
      <c r="G46" s="10" t="inlineStr">
        <is>
          <t xml:space="preserve">ACTIVO</t>
        </is>
      </c>
      <c r="H46" s="10" t="inlineStr">
        <is>
          <t xml:space="preserve">BEX-0106</t>
        </is>
      </c>
      <c r="I46" s="10" t="inlineStr">
        <is>
          <t xml:space="preserve"/>
        </is>
      </c>
      <c r="J46" s="7" t="inlineStr">
        <is>
          <t xml:space="preserve">⚠️ Verificar: posible duplicado con JHOSEP SHARUM (MAGALI)</t>
        </is>
      </c>
    </row>
    <row r="47">
      <c r="A47" s="7" t="inlineStr">
        <is>
          <t xml:space="preserve">PER-046</t>
        </is>
      </c>
      <c r="B47" s="10" t="inlineStr">
        <is>
          <t xml:space="preserve">POR REGISTRAR</t>
        </is>
      </c>
      <c r="C47" s="7" t="inlineStr">
        <is>
          <t xml:space="preserve">JOEL DAVID HUANCA HUANCA</t>
        </is>
      </c>
      <c r="D47" s="10" t="inlineStr">
        <is>
          <t xml:space="preserve">SUPERVISOR</t>
        </is>
      </c>
      <c r="E47" s="7" t="inlineStr">
        <is>
          <t xml:space="preserve">JOEL DAVID HUANCA HUANCA</t>
        </is>
      </c>
      <c r="F47" s="7" t="inlineStr">
        <is>
          <t xml:space="preserve">LA PAZ</t>
        </is>
      </c>
      <c r="G47" s="10" t="inlineStr">
        <is>
          <t xml:space="preserve">ACTIVO</t>
        </is>
      </c>
      <c r="H47" s="10" t="inlineStr">
        <is>
          <t xml:space="preserve">BEX-0158</t>
        </is>
      </c>
      <c r="I47" s="10" t="inlineStr">
        <is>
          <t xml:space="preserve"/>
        </is>
      </c>
      <c r="J47" s="7" t="inlineStr">
        <is>
          <t xml:space="preserve"/>
        </is>
      </c>
    </row>
    <row r="48">
      <c r="A48" s="7" t="inlineStr">
        <is>
          <t xml:space="preserve">PER-047</t>
        </is>
      </c>
      <c r="B48" s="10" t="inlineStr">
        <is>
          <t xml:space="preserve">POR REGISTRAR</t>
        </is>
      </c>
      <c r="C48" s="7" t="inlineStr">
        <is>
          <t xml:space="preserve">CESAR OSCAR LAURA CHUYMA</t>
        </is>
      </c>
      <c r="D48" s="10" t="inlineStr">
        <is>
          <t xml:space="preserve">AFILIADOR</t>
        </is>
      </c>
      <c r="E48" s="7" t="inlineStr">
        <is>
          <t xml:space="preserve">JOEL DAVID HUANCA HUANCA</t>
        </is>
      </c>
      <c r="F48" s="7" t="inlineStr">
        <is>
          <t xml:space="preserve">LA PAZ</t>
        </is>
      </c>
      <c r="G48" s="10" t="inlineStr">
        <is>
          <t xml:space="preserve">ACTIVO</t>
        </is>
      </c>
      <c r="H48" s="10" t="inlineStr">
        <is>
          <t xml:space="preserve">BEX-2039</t>
        </is>
      </c>
      <c r="I48" s="10" t="inlineStr">
        <is>
          <t xml:space="preserve"/>
        </is>
      </c>
      <c r="J48" s="7" t="inlineStr">
        <is>
          <t xml:space="preserve"/>
        </is>
      </c>
    </row>
    <row r="49">
      <c r="A49" s="7" t="inlineStr">
        <is>
          <t xml:space="preserve">PER-048</t>
        </is>
      </c>
      <c r="B49" s="10" t="inlineStr">
        <is>
          <t xml:space="preserve">POR REGISTRAR</t>
        </is>
      </c>
      <c r="C49" s="7" t="inlineStr">
        <is>
          <t xml:space="preserve">EDDY HERLAND ESPINOZA CHOQUE</t>
        </is>
      </c>
      <c r="D49" s="10" t="inlineStr">
        <is>
          <t xml:space="preserve">AFILIADOR</t>
        </is>
      </c>
      <c r="E49" s="7" t="inlineStr">
        <is>
          <t xml:space="preserve">JOEL DAVID HUANCA HUANCA</t>
        </is>
      </c>
      <c r="F49" s="7" t="inlineStr">
        <is>
          <t xml:space="preserve">LA PAZ</t>
        </is>
      </c>
      <c r="G49" s="10" t="inlineStr">
        <is>
          <t xml:space="preserve">ACTIVO</t>
        </is>
      </c>
      <c r="H49" s="10" t="inlineStr">
        <is>
          <t xml:space="preserve">BEX-0126</t>
        </is>
      </c>
      <c r="I49" s="10" t="inlineStr">
        <is>
          <t xml:space="preserve"/>
        </is>
      </c>
      <c r="J49" s="7" t="inlineStr">
        <is>
          <t xml:space="preserve"/>
        </is>
      </c>
    </row>
    <row r="50">
      <c r="A50" s="7" t="inlineStr">
        <is>
          <t xml:space="preserve">PER-049</t>
        </is>
      </c>
      <c r="B50" s="10" t="inlineStr">
        <is>
          <t xml:space="preserve">POR REGISTRAR</t>
        </is>
      </c>
      <c r="C50" s="7" t="inlineStr">
        <is>
          <t xml:space="preserve">FRANZ RODRIGO LEVANDRO PANUNI</t>
        </is>
      </c>
      <c r="D50" s="10" t="inlineStr">
        <is>
          <t xml:space="preserve">AFILIADOR</t>
        </is>
      </c>
      <c r="E50" s="7" t="inlineStr">
        <is>
          <t xml:space="preserve">JOEL DAVID HUANCA HUANCA</t>
        </is>
      </c>
      <c r="F50" s="7" t="inlineStr">
        <is>
          <t xml:space="preserve">LA PAZ</t>
        </is>
      </c>
      <c r="G50" s="10" t="inlineStr">
        <is>
          <t xml:space="preserve">ACTIVO</t>
        </is>
      </c>
      <c r="H50" s="10" t="inlineStr">
        <is>
          <t xml:space="preserve">BEX-0192</t>
        </is>
      </c>
      <c r="I50" s="10" t="inlineStr">
        <is>
          <t xml:space="preserve"/>
        </is>
      </c>
      <c r="J50" s="7" t="inlineStr">
        <is>
          <t xml:space="preserve"/>
        </is>
      </c>
    </row>
    <row r="51">
      <c r="A51" s="7" t="inlineStr">
        <is>
          <t xml:space="preserve">PER-050</t>
        </is>
      </c>
      <c r="B51" s="10" t="inlineStr">
        <is>
          <t xml:space="preserve">POR REGISTRAR</t>
        </is>
      </c>
      <c r="C51" s="7" t="inlineStr">
        <is>
          <t xml:space="preserve">JHOANA IVETH VARGAS COPA</t>
        </is>
      </c>
      <c r="D51" s="10" t="inlineStr">
        <is>
          <t xml:space="preserve">AFILIADOR</t>
        </is>
      </c>
      <c r="E51" s="7" t="inlineStr">
        <is>
          <t xml:space="preserve">JOEL DAVID HUANCA HUANCA</t>
        </is>
      </c>
      <c r="F51" s="7" t="inlineStr">
        <is>
          <t xml:space="preserve">LA PAZ</t>
        </is>
      </c>
      <c r="G51" s="10" t="inlineStr">
        <is>
          <t xml:space="preserve">ACTIVO</t>
        </is>
      </c>
      <c r="H51" s="10" t="inlineStr">
        <is>
          <t xml:space="preserve">BEX-0109</t>
        </is>
      </c>
      <c r="I51" s="10" t="inlineStr">
        <is>
          <t xml:space="preserve"/>
        </is>
      </c>
      <c r="J51" s="7" t="inlineStr">
        <is>
          <t xml:space="preserve"/>
        </is>
      </c>
    </row>
    <row r="52">
      <c r="A52" s="7" t="inlineStr">
        <is>
          <t xml:space="preserve">PER-051</t>
        </is>
      </c>
      <c r="B52" s="10" t="inlineStr">
        <is>
          <t xml:space="preserve">POR REGISTRAR</t>
        </is>
      </c>
      <c r="C52" s="7" t="inlineStr">
        <is>
          <t xml:space="preserve">TANIA NINOSKA MAMANI MACHACA</t>
        </is>
      </c>
      <c r="D52" s="10" t="inlineStr">
        <is>
          <t xml:space="preserve">AFILIADOR</t>
        </is>
      </c>
      <c r="E52" s="7" t="inlineStr">
        <is>
          <t xml:space="preserve">JOEL DAVID HUANCA HUANCA</t>
        </is>
      </c>
      <c r="F52" s="7" t="inlineStr">
        <is>
          <t xml:space="preserve">LA PAZ</t>
        </is>
      </c>
      <c r="G52" s="10" t="inlineStr">
        <is>
          <t xml:space="preserve">INACTIVO</t>
        </is>
      </c>
      <c r="H52" s="10" t="inlineStr">
        <is>
          <t xml:space="preserve"/>
        </is>
      </c>
      <c r="I52" s="10" t="inlineStr">
        <is>
          <t xml:space="preserve"/>
        </is>
      </c>
      <c r="J52" s="7" t="inlineStr">
        <is>
          <t xml:space="preserve"/>
        </is>
      </c>
    </row>
    <row r="53">
      <c r="A53" s="7" t="inlineStr">
        <is>
          <t xml:space="preserve">PER-052</t>
        </is>
      </c>
      <c r="B53" s="10" t="inlineStr">
        <is>
          <t xml:space="preserve">POR REGISTRAR</t>
        </is>
      </c>
      <c r="C53" s="7" t="inlineStr">
        <is>
          <t xml:space="preserve">VANESSA ILLANES YUJRA</t>
        </is>
      </c>
      <c r="D53" s="10" t="inlineStr">
        <is>
          <t xml:space="preserve">AFILIADOR</t>
        </is>
      </c>
      <c r="E53" s="7" t="inlineStr">
        <is>
          <t xml:space="preserve">JOEL DAVID HUANCA HUANCA</t>
        </is>
      </c>
      <c r="F53" s="7" t="inlineStr">
        <is>
          <t xml:space="preserve">LA PAZ</t>
        </is>
      </c>
      <c r="G53" s="10" t="inlineStr">
        <is>
          <t xml:space="preserve">ACTIVO</t>
        </is>
      </c>
      <c r="H53" s="10" t="inlineStr">
        <is>
          <t xml:space="preserve">BEX-0187</t>
        </is>
      </c>
      <c r="I53" s="10" t="inlineStr">
        <is>
          <t xml:space="preserve"/>
        </is>
      </c>
      <c r="J53" s="7" t="inlineStr">
        <is>
          <t xml:space="preserve"/>
        </is>
      </c>
    </row>
    <row r="54">
      <c r="A54" s="7" t="inlineStr">
        <is>
          <t xml:space="preserve">PER-053</t>
        </is>
      </c>
      <c r="B54" s="10" t="inlineStr">
        <is>
          <t xml:space="preserve">POR REGISTRAR</t>
        </is>
      </c>
      <c r="C54" s="7" t="inlineStr">
        <is>
          <t xml:space="preserve">WILSON ALFREDO MACHACA CALCINA</t>
        </is>
      </c>
      <c r="D54" s="10" t="inlineStr">
        <is>
          <t xml:space="preserve">AFILIADOR</t>
        </is>
      </c>
      <c r="E54" s="7" t="inlineStr">
        <is>
          <t xml:space="preserve">JOEL DAVID HUANCA HUANCA</t>
        </is>
      </c>
      <c r="F54" s="7" t="inlineStr">
        <is>
          <t xml:space="preserve">LA PAZ</t>
        </is>
      </c>
      <c r="G54" s="10" t="inlineStr">
        <is>
          <t xml:space="preserve">ACTIVO</t>
        </is>
      </c>
      <c r="H54" s="10" t="inlineStr">
        <is>
          <t xml:space="preserve">BEX-0111</t>
        </is>
      </c>
      <c r="I54" s="10" t="inlineStr">
        <is>
          <t xml:space="preserve"/>
        </is>
      </c>
      <c r="J54" s="7" t="inlineStr">
        <is>
          <t xml:space="preserve"/>
        </is>
      </c>
    </row>
    <row r="55">
      <c r="A55" s="7" t="inlineStr">
        <is>
          <t xml:space="preserve">PER-054</t>
        </is>
      </c>
      <c r="B55" s="10" t="inlineStr">
        <is>
          <t xml:space="preserve">POR REGISTRAR</t>
        </is>
      </c>
      <c r="C55" s="7" t="inlineStr">
        <is>
          <t xml:space="preserve">MAGALI YESENIA HUANCA HUANCA</t>
        </is>
      </c>
      <c r="D55" s="10" t="inlineStr">
        <is>
          <t xml:space="preserve">SUPERVISOR</t>
        </is>
      </c>
      <c r="E55" s="7" t="inlineStr">
        <is>
          <t xml:space="preserve">MAGALI YESENIA HUANCA HUANCA</t>
        </is>
      </c>
      <c r="F55" s="7" t="inlineStr">
        <is>
          <t xml:space="preserve">LA PAZ</t>
        </is>
      </c>
      <c r="G55" s="10" t="inlineStr">
        <is>
          <t xml:space="preserve">ACTIVO</t>
        </is>
      </c>
      <c r="H55" s="10" t="inlineStr">
        <is>
          <t xml:space="preserve"/>
        </is>
      </c>
      <c r="I55" s="10" t="inlineStr">
        <is>
          <t xml:space="preserve"/>
        </is>
      </c>
      <c r="J55" s="7" t="inlineStr">
        <is>
          <t xml:space="preserve"/>
        </is>
      </c>
    </row>
    <row r="56">
      <c r="A56" s="7" t="inlineStr">
        <is>
          <t xml:space="preserve">PER-055</t>
        </is>
      </c>
      <c r="B56" s="10" t="inlineStr">
        <is>
          <t xml:space="preserve">POR REGISTRAR</t>
        </is>
      </c>
      <c r="C56" s="7" t="inlineStr">
        <is>
          <t xml:space="preserve">ELIZABETH CEREZO CEREZO</t>
        </is>
      </c>
      <c r="D56" s="10" t="inlineStr">
        <is>
          <t xml:space="preserve">AFILIADOR</t>
        </is>
      </c>
      <c r="E56" s="7" t="inlineStr">
        <is>
          <t xml:space="preserve">MAGALI YESENIA HUANCA HUANCA</t>
        </is>
      </c>
      <c r="F56" s="7" t="inlineStr">
        <is>
          <t xml:space="preserve">LA PAZ</t>
        </is>
      </c>
      <c r="G56" s="10" t="inlineStr">
        <is>
          <t xml:space="preserve">INACTIVO</t>
        </is>
      </c>
      <c r="H56" s="10" t="inlineStr">
        <is>
          <t xml:space="preserve"/>
        </is>
      </c>
      <c r="I56" s="10" t="inlineStr">
        <is>
          <t xml:space="preserve"/>
        </is>
      </c>
      <c r="J56" s="7" t="inlineStr">
        <is>
          <t xml:space="preserve"/>
        </is>
      </c>
    </row>
    <row r="57">
      <c r="A57" s="7" t="inlineStr">
        <is>
          <t xml:space="preserve">PER-056</t>
        </is>
      </c>
      <c r="B57" s="10" t="inlineStr">
        <is>
          <t xml:space="preserve">POR REGISTRAR</t>
        </is>
      </c>
      <c r="C57" s="7" t="inlineStr">
        <is>
          <t xml:space="preserve">ERIKA HUAYHUA FERNANDEZ</t>
        </is>
      </c>
      <c r="D57" s="10" t="inlineStr">
        <is>
          <t xml:space="preserve">AFILIADOR</t>
        </is>
      </c>
      <c r="E57" s="7" t="inlineStr">
        <is>
          <t xml:space="preserve">MAGALI YESENIA HUANCA HUANCA</t>
        </is>
      </c>
      <c r="F57" s="7" t="inlineStr">
        <is>
          <t xml:space="preserve">LA PAZ</t>
        </is>
      </c>
      <c r="G57" s="10" t="inlineStr">
        <is>
          <t xml:space="preserve">INACTIVO</t>
        </is>
      </c>
      <c r="H57" s="10" t="inlineStr">
        <is>
          <t xml:space="preserve"/>
        </is>
      </c>
      <c r="I57" s="10" t="inlineStr">
        <is>
          <t xml:space="preserve"/>
        </is>
      </c>
      <c r="J57" s="7" t="inlineStr">
        <is>
          <t xml:space="preserve"/>
        </is>
      </c>
    </row>
    <row r="58">
      <c r="A58" s="7" t="inlineStr">
        <is>
          <t xml:space="preserve">PER-057</t>
        </is>
      </c>
      <c r="B58" s="10" t="inlineStr">
        <is>
          <t xml:space="preserve">POR REGISTRAR</t>
        </is>
      </c>
      <c r="C58" s="7" t="inlineStr">
        <is>
          <t xml:space="preserve">EVELYN GIOVANNA LUQUE CHAUCA</t>
        </is>
      </c>
      <c r="D58" s="10" t="inlineStr">
        <is>
          <t xml:space="preserve">AFILIADOR</t>
        </is>
      </c>
      <c r="E58" s="7" t="inlineStr">
        <is>
          <t xml:space="preserve">MAGALI YESENIA HUANCA HUANCA</t>
        </is>
      </c>
      <c r="F58" s="7" t="inlineStr">
        <is>
          <t xml:space="preserve">LA PAZ</t>
        </is>
      </c>
      <c r="G58" s="10" t="inlineStr">
        <is>
          <t xml:space="preserve">INACTIVO</t>
        </is>
      </c>
      <c r="H58" s="10" t="inlineStr">
        <is>
          <t xml:space="preserve"/>
        </is>
      </c>
      <c r="I58" s="10" t="inlineStr">
        <is>
          <t xml:space="preserve"/>
        </is>
      </c>
      <c r="J58" s="7" t="inlineStr">
        <is>
          <t xml:space="preserve"/>
        </is>
      </c>
    </row>
    <row r="59">
      <c r="A59" s="7" t="inlineStr">
        <is>
          <t xml:space="preserve">PER-058</t>
        </is>
      </c>
      <c r="B59" s="10" t="inlineStr">
        <is>
          <t xml:space="preserve">POR REGISTRAR</t>
        </is>
      </c>
      <c r="C59" s="7" t="inlineStr">
        <is>
          <t xml:space="preserve">JHENNY CALLISAYA QUISPE</t>
        </is>
      </c>
      <c r="D59" s="10" t="inlineStr">
        <is>
          <t xml:space="preserve">AFILIADOR</t>
        </is>
      </c>
      <c r="E59" s="7" t="inlineStr">
        <is>
          <t xml:space="preserve">MAGALI YESENIA HUANCA HUANCA</t>
        </is>
      </c>
      <c r="F59" s="7" t="inlineStr">
        <is>
          <t xml:space="preserve">LA PAZ</t>
        </is>
      </c>
      <c r="G59" s="10" t="inlineStr">
        <is>
          <t xml:space="preserve">INACTIVO</t>
        </is>
      </c>
      <c r="H59" s="10" t="inlineStr">
        <is>
          <t xml:space="preserve"/>
        </is>
      </c>
      <c r="I59" s="10" t="inlineStr">
        <is>
          <t xml:space="preserve"/>
        </is>
      </c>
      <c r="J59" s="7" t="inlineStr">
        <is>
          <t xml:space="preserve"/>
        </is>
      </c>
    </row>
    <row r="60">
      <c r="A60" s="7" t="inlineStr">
        <is>
          <t xml:space="preserve">PER-059</t>
        </is>
      </c>
      <c r="B60" s="10" t="inlineStr">
        <is>
          <t xml:space="preserve">POR REGISTRAR</t>
        </is>
      </c>
      <c r="C60" s="7" t="inlineStr">
        <is>
          <t xml:space="preserve">JHOSEP SHARUM QUISBERT MAMANI</t>
        </is>
      </c>
      <c r="D60" s="10" t="inlineStr">
        <is>
          <t xml:space="preserve">AFILIADOR</t>
        </is>
      </c>
      <c r="E60" s="7" t="inlineStr">
        <is>
          <t xml:space="preserve">MAGALI YESENIA HUANCA HUANCA</t>
        </is>
      </c>
      <c r="F60" s="7" t="inlineStr">
        <is>
          <t xml:space="preserve">LA PAZ</t>
        </is>
      </c>
      <c r="G60" s="10" t="inlineStr">
        <is>
          <t xml:space="preserve">ACTIVO</t>
        </is>
      </c>
      <c r="H60" s="10" t="inlineStr">
        <is>
          <t xml:space="preserve">BEX-0106</t>
        </is>
      </c>
      <c r="I60" s="10" t="inlineStr">
        <is>
          <t xml:space="preserve"/>
        </is>
      </c>
      <c r="J60" s="7" t="inlineStr">
        <is>
          <t xml:space="preserve">⚠️ Verificar: mismo BEX-0106 que CAMILA LOZA (GERCY)</t>
        </is>
      </c>
    </row>
    <row r="61">
      <c r="A61" s="7" t="inlineStr">
        <is>
          <t xml:space="preserve">PER-060</t>
        </is>
      </c>
      <c r="B61" s="10" t="inlineStr">
        <is>
          <t xml:space="preserve">POR REGISTRAR</t>
        </is>
      </c>
      <c r="C61" s="7" t="inlineStr">
        <is>
          <t xml:space="preserve">MILENKO ADRIANA ORDONEZ NUNEZ</t>
        </is>
      </c>
      <c r="D61" s="10" t="inlineStr">
        <is>
          <t xml:space="preserve">SUPERVISOR</t>
        </is>
      </c>
      <c r="E61" s="7" t="inlineStr">
        <is>
          <t xml:space="preserve">MILENKO ADRIANA ORDONEZ NUNEZ</t>
        </is>
      </c>
      <c r="F61" s="7" t="inlineStr">
        <is>
          <t xml:space="preserve">LA PAZ</t>
        </is>
      </c>
      <c r="G61" s="10" t="inlineStr">
        <is>
          <t xml:space="preserve">ACTIVO</t>
        </is>
      </c>
      <c r="H61" s="10" t="inlineStr">
        <is>
          <t xml:space="preserve">BEX-2040</t>
        </is>
      </c>
      <c r="I61" s="10" t="inlineStr">
        <is>
          <t xml:space="preserve"/>
        </is>
      </c>
      <c r="J61" s="7" t="inlineStr">
        <is>
          <t xml:space="preserve"/>
        </is>
      </c>
    </row>
    <row r="62">
      <c r="A62" s="7" t="inlineStr">
        <is>
          <t xml:space="preserve">PER-061</t>
        </is>
      </c>
      <c r="B62" s="10" t="inlineStr">
        <is>
          <t xml:space="preserve">POR REGISTRAR</t>
        </is>
      </c>
      <c r="C62" s="7" t="inlineStr">
        <is>
          <t xml:space="preserve">ADRIANA ALEJANDRA AREVALO HERBAS</t>
        </is>
      </c>
      <c r="D62" s="10" t="inlineStr">
        <is>
          <t xml:space="preserve">AFILIADOR</t>
        </is>
      </c>
      <c r="E62" s="7" t="inlineStr">
        <is>
          <t xml:space="preserve">MILENKO ADRIANA ORDONEZ NUNEZ</t>
        </is>
      </c>
      <c r="F62" s="7" t="inlineStr">
        <is>
          <t xml:space="preserve">LA PAZ</t>
        </is>
      </c>
      <c r="G62" s="10" t="inlineStr">
        <is>
          <t xml:space="preserve">ACTIVO</t>
        </is>
      </c>
      <c r="H62" s="10" t="inlineStr">
        <is>
          <t xml:space="preserve">BEX-0167</t>
        </is>
      </c>
      <c r="I62" s="10" t="inlineStr">
        <is>
          <t xml:space="preserve"/>
        </is>
      </c>
      <c r="J62" s="7" t="inlineStr">
        <is>
          <t xml:space="preserve"/>
        </is>
      </c>
    </row>
    <row r="63">
      <c r="A63" s="7" t="inlineStr">
        <is>
          <t xml:space="preserve">PER-062</t>
        </is>
      </c>
      <c r="B63" s="10" t="inlineStr">
        <is>
          <t xml:space="preserve">POR REGISTRAR</t>
        </is>
      </c>
      <c r="C63" s="7" t="inlineStr">
        <is>
          <t xml:space="preserve">BRENDA ISABEL IBANEZ CARPIO</t>
        </is>
      </c>
      <c r="D63" s="10" t="inlineStr">
        <is>
          <t xml:space="preserve">AFILIADOR</t>
        </is>
      </c>
      <c r="E63" s="7" t="inlineStr">
        <is>
          <t xml:space="preserve">MILENKO ADRIANA ORDONEZ NUNEZ</t>
        </is>
      </c>
      <c r="F63" s="7" t="inlineStr">
        <is>
          <t xml:space="preserve">LA PAZ</t>
        </is>
      </c>
      <c r="G63" s="10" t="inlineStr">
        <is>
          <t xml:space="preserve">INACTIVO</t>
        </is>
      </c>
      <c r="H63" s="10" t="inlineStr">
        <is>
          <t xml:space="preserve"/>
        </is>
      </c>
      <c r="I63" s="10" t="inlineStr">
        <is>
          <t xml:space="preserve"/>
        </is>
      </c>
      <c r="J63" s="7" t="inlineStr">
        <is>
          <t xml:space="preserve"/>
        </is>
      </c>
    </row>
    <row r="64">
      <c r="A64" s="7" t="inlineStr">
        <is>
          <t xml:space="preserve">PER-063</t>
        </is>
      </c>
      <c r="B64" s="10" t="inlineStr">
        <is>
          <t xml:space="preserve">POR REGISTRAR</t>
        </is>
      </c>
      <c r="C64" s="7" t="inlineStr">
        <is>
          <t xml:space="preserve">CLAUDIA APAZA SINANI</t>
        </is>
      </c>
      <c r="D64" s="10" t="inlineStr">
        <is>
          <t xml:space="preserve">AFILIADOR</t>
        </is>
      </c>
      <c r="E64" s="7" t="inlineStr">
        <is>
          <t xml:space="preserve">MILENKO ADRIANA ORDONEZ NUNEZ</t>
        </is>
      </c>
      <c r="F64" s="7" t="inlineStr">
        <is>
          <t xml:space="preserve">LA PAZ</t>
        </is>
      </c>
      <c r="G64" s="10" t="inlineStr">
        <is>
          <t xml:space="preserve">INACTIVO</t>
        </is>
      </c>
      <c r="H64" s="10" t="inlineStr">
        <is>
          <t xml:space="preserve"/>
        </is>
      </c>
      <c r="I64" s="10" t="inlineStr">
        <is>
          <t xml:space="preserve"/>
        </is>
      </c>
      <c r="J64" s="7" t="inlineStr">
        <is>
          <t xml:space="preserve"/>
        </is>
      </c>
    </row>
    <row r="65">
      <c r="A65" s="7" t="inlineStr">
        <is>
          <t xml:space="preserve">PER-064</t>
        </is>
      </c>
      <c r="B65" s="10" t="inlineStr">
        <is>
          <t xml:space="preserve">POR REGISTRAR</t>
        </is>
      </c>
      <c r="C65" s="7" t="inlineStr">
        <is>
          <t xml:space="preserve">CRISTIAN JAVIER MORALES REYES</t>
        </is>
      </c>
      <c r="D65" s="10" t="inlineStr">
        <is>
          <t xml:space="preserve">AFILIADOR</t>
        </is>
      </c>
      <c r="E65" s="7" t="inlineStr">
        <is>
          <t xml:space="preserve">MILENKO ADRIANA ORDONEZ NUNEZ</t>
        </is>
      </c>
      <c r="F65" s="7" t="inlineStr">
        <is>
          <t xml:space="preserve">LA PAZ</t>
        </is>
      </c>
      <c r="G65" s="10" t="inlineStr">
        <is>
          <t xml:space="preserve">ACTIVO</t>
        </is>
      </c>
      <c r="H65" s="10" t="inlineStr">
        <is>
          <t xml:space="preserve">BEX-0155</t>
        </is>
      </c>
      <c r="I65" s="10" t="inlineStr">
        <is>
          <t xml:space="preserve"/>
        </is>
      </c>
      <c r="J65" s="7" t="inlineStr">
        <is>
          <t xml:space="preserve"/>
        </is>
      </c>
    </row>
    <row r="66">
      <c r="A66" s="7" t="inlineStr">
        <is>
          <t xml:space="preserve">PER-065</t>
        </is>
      </c>
      <c r="B66" s="10" t="inlineStr">
        <is>
          <t xml:space="preserve">POR REGISTRAR</t>
        </is>
      </c>
      <c r="C66" s="7" t="inlineStr">
        <is>
          <t xml:space="preserve">DAMIAN ALEJANDRO DE LA BARRA RODRIGUEZ</t>
        </is>
      </c>
      <c r="D66" s="10" t="inlineStr">
        <is>
          <t xml:space="preserve">AFILIADOR</t>
        </is>
      </c>
      <c r="E66" s="7" t="inlineStr">
        <is>
          <t xml:space="preserve">MILENKO ADRIANA ORDONEZ NUNEZ</t>
        </is>
      </c>
      <c r="F66" s="7" t="inlineStr">
        <is>
          <t xml:space="preserve">LA PAZ</t>
        </is>
      </c>
      <c r="G66" s="10" t="inlineStr">
        <is>
          <t xml:space="preserve">INACTIVO</t>
        </is>
      </c>
      <c r="H66" s="10" t="inlineStr">
        <is>
          <t xml:space="preserve"/>
        </is>
      </c>
      <c r="I66" s="10" t="inlineStr">
        <is>
          <t xml:space="preserve"/>
        </is>
      </c>
      <c r="J66" s="7" t="inlineStr">
        <is>
          <t xml:space="preserve"/>
        </is>
      </c>
    </row>
    <row r="67">
      <c r="A67" s="7" t="inlineStr">
        <is>
          <t xml:space="preserve">PER-066</t>
        </is>
      </c>
      <c r="B67" s="10" t="inlineStr">
        <is>
          <t xml:space="preserve">POR REGISTRAR</t>
        </is>
      </c>
      <c r="C67" s="7" t="inlineStr">
        <is>
          <t xml:space="preserve">DANIELA ANDREA VARGAS AREVALO</t>
        </is>
      </c>
      <c r="D67" s="10" t="inlineStr">
        <is>
          <t xml:space="preserve">AFILIADOR</t>
        </is>
      </c>
      <c r="E67" s="7" t="inlineStr">
        <is>
          <t xml:space="preserve">MILENKO ADRIANA ORDONEZ NUNEZ</t>
        </is>
      </c>
      <c r="F67" s="7" t="inlineStr">
        <is>
          <t xml:space="preserve">LA PAZ</t>
        </is>
      </c>
      <c r="G67" s="10" t="inlineStr">
        <is>
          <t xml:space="preserve">ACTIVO</t>
        </is>
      </c>
      <c r="H67" s="10" t="inlineStr">
        <is>
          <t xml:space="preserve">BEX-0186</t>
        </is>
      </c>
      <c r="I67" s="10" t="inlineStr">
        <is>
          <t xml:space="preserve"/>
        </is>
      </c>
      <c r="J67" s="7" t="inlineStr">
        <is>
          <t xml:space="preserve"/>
        </is>
      </c>
    </row>
    <row r="68">
      <c r="A68" s="7" t="inlineStr">
        <is>
          <t xml:space="preserve">PER-067</t>
        </is>
      </c>
      <c r="B68" s="10" t="inlineStr">
        <is>
          <t xml:space="preserve">POR REGISTRAR</t>
        </is>
      </c>
      <c r="C68" s="7" t="inlineStr">
        <is>
          <t xml:space="preserve">JORGE LUIS PEDRAZA</t>
        </is>
      </c>
      <c r="D68" s="10" t="inlineStr">
        <is>
          <t xml:space="preserve">AFILIADOR</t>
        </is>
      </c>
      <c r="E68" s="7" t="inlineStr">
        <is>
          <t xml:space="preserve">MILENKO ADRIANA ORDONEZ NUNEZ</t>
        </is>
      </c>
      <c r="F68" s="7" t="inlineStr">
        <is>
          <t xml:space="preserve">LA PAZ</t>
        </is>
      </c>
      <c r="G68" s="10" t="inlineStr">
        <is>
          <t xml:space="preserve">ACTIVO</t>
        </is>
      </c>
      <c r="H68" s="10" t="inlineStr">
        <is>
          <t xml:space="preserve">BEX-0156</t>
        </is>
      </c>
      <c r="I68" s="10" t="inlineStr">
        <is>
          <t xml:space="preserve"/>
        </is>
      </c>
      <c r="J68" s="7" t="inlineStr">
        <is>
          <t xml:space="preserve"/>
        </is>
      </c>
    </row>
    <row r="69">
      <c r="A69" s="7" t="inlineStr">
        <is>
          <t xml:space="preserve">PER-068</t>
        </is>
      </c>
      <c r="B69" s="10" t="inlineStr">
        <is>
          <t xml:space="preserve">POR REGISTRAR</t>
        </is>
      </c>
      <c r="C69" s="7" t="inlineStr">
        <is>
          <t xml:space="preserve">KATTERIN VANESA MEDRANO ESPEJO</t>
        </is>
      </c>
      <c r="D69" s="10" t="inlineStr">
        <is>
          <t xml:space="preserve">AFILIADOR</t>
        </is>
      </c>
      <c r="E69" s="7" t="inlineStr">
        <is>
          <t xml:space="preserve">MILENKO ADRIANA ORDONEZ NUNEZ</t>
        </is>
      </c>
      <c r="F69" s="7" t="inlineStr">
        <is>
          <t xml:space="preserve">LA PAZ</t>
        </is>
      </c>
      <c r="G69" s="10" t="inlineStr">
        <is>
          <t xml:space="preserve">ACTIVO</t>
        </is>
      </c>
      <c r="H69" s="10" t="inlineStr">
        <is>
          <t xml:space="preserve">BEX-0166</t>
        </is>
      </c>
      <c r="I69" s="10" t="inlineStr">
        <is>
          <t xml:space="preserve"/>
        </is>
      </c>
      <c r="J69" s="7" t="inlineStr">
        <is>
          <t xml:space="preserve"/>
        </is>
      </c>
    </row>
    <row r="70">
      <c r="A70" s="7" t="inlineStr">
        <is>
          <t xml:space="preserve">PER-069</t>
        </is>
      </c>
      <c r="B70" s="10" t="inlineStr">
        <is>
          <t xml:space="preserve">POR REGISTRAR</t>
        </is>
      </c>
      <c r="C70" s="7" t="inlineStr">
        <is>
          <t xml:space="preserve">MARIA ELENA PERALTA JORDAN</t>
        </is>
      </c>
      <c r="D70" s="10" t="inlineStr">
        <is>
          <t xml:space="preserve">AFILIADOR</t>
        </is>
      </c>
      <c r="E70" s="7" t="inlineStr">
        <is>
          <t xml:space="preserve">MILENKO ADRIANA ORDONEZ NUNEZ</t>
        </is>
      </c>
      <c r="F70" s="7" t="inlineStr">
        <is>
          <t xml:space="preserve">LA PAZ</t>
        </is>
      </c>
      <c r="G70" s="10" t="inlineStr">
        <is>
          <t xml:space="preserve">ACTIVO</t>
        </is>
      </c>
      <c r="H70" s="10" t="inlineStr">
        <is>
          <t xml:space="preserve">BEX-0124</t>
        </is>
      </c>
      <c r="I70" s="10" t="inlineStr">
        <is>
          <t xml:space="preserve"/>
        </is>
      </c>
      <c r="J70" s="7" t="inlineStr">
        <is>
          <t xml:space="preserve"/>
        </is>
      </c>
    </row>
    <row r="71">
      <c r="A71" s="7" t="inlineStr">
        <is>
          <t xml:space="preserve">PER-070</t>
        </is>
      </c>
      <c r="B71" s="10" t="inlineStr">
        <is>
          <t xml:space="preserve">POR REGISTRAR</t>
        </is>
      </c>
      <c r="C71" s="7" t="inlineStr">
        <is>
          <t xml:space="preserve">MARIA EMILIA HUAYLLA ALMANZA</t>
        </is>
      </c>
      <c r="D71" s="10" t="inlineStr">
        <is>
          <t xml:space="preserve">AFILIADOR</t>
        </is>
      </c>
      <c r="E71" s="7" t="inlineStr">
        <is>
          <t xml:space="preserve">MILENKO ADRIANA ORDONEZ NUNEZ</t>
        </is>
      </c>
      <c r="F71" s="7" t="inlineStr">
        <is>
          <t xml:space="preserve">LA PAZ</t>
        </is>
      </c>
      <c r="G71" s="10" t="inlineStr">
        <is>
          <t xml:space="preserve">ACTIVO</t>
        </is>
      </c>
      <c r="H71" s="10" t="inlineStr">
        <is>
          <t xml:space="preserve">BEX-0179</t>
        </is>
      </c>
      <c r="I71" s="10" t="inlineStr">
        <is>
          <t xml:space="preserve"/>
        </is>
      </c>
      <c r="J71" s="7" t="inlineStr">
        <is>
          <t xml:space="preserve"/>
        </is>
      </c>
    </row>
    <row r="72">
      <c r="A72" s="7" t="inlineStr">
        <is>
          <t xml:space="preserve">PER-071</t>
        </is>
      </c>
      <c r="B72" s="10" t="inlineStr">
        <is>
          <t xml:space="preserve">POR REGISTRAR</t>
        </is>
      </c>
      <c r="C72" s="7" t="inlineStr">
        <is>
          <t xml:space="preserve">MARLENY ZULMA MAYNASA TAPIA</t>
        </is>
      </c>
      <c r="D72" s="10" t="inlineStr">
        <is>
          <t xml:space="preserve">AFILIADOR</t>
        </is>
      </c>
      <c r="E72" s="7" t="inlineStr">
        <is>
          <t xml:space="preserve">MILENKO ADRIANA ORDONEZ NUNEZ</t>
        </is>
      </c>
      <c r="F72" s="7" t="inlineStr">
        <is>
          <t xml:space="preserve">LA PAZ</t>
        </is>
      </c>
      <c r="G72" s="10" t="inlineStr">
        <is>
          <t xml:space="preserve">INACTIVO</t>
        </is>
      </c>
      <c r="H72" s="10" t="inlineStr">
        <is>
          <t xml:space="preserve"/>
        </is>
      </c>
      <c r="I72" s="10" t="inlineStr">
        <is>
          <t xml:space="preserve"/>
        </is>
      </c>
      <c r="J72" s="7" t="inlineStr">
        <is>
          <t xml:space="preserve"/>
        </is>
      </c>
    </row>
    <row r="73">
      <c r="A73" s="7" t="inlineStr">
        <is>
          <t xml:space="preserve">PER-072</t>
        </is>
      </c>
      <c r="B73" s="10" t="inlineStr">
        <is>
          <t xml:space="preserve">POR REGISTRAR</t>
        </is>
      </c>
      <c r="C73" s="7" t="inlineStr">
        <is>
          <t xml:space="preserve">RUTH CELINA PONCE PACO</t>
        </is>
      </c>
      <c r="D73" s="10" t="inlineStr">
        <is>
          <t xml:space="preserve">AFILIADOR</t>
        </is>
      </c>
      <c r="E73" s="7" t="inlineStr">
        <is>
          <t xml:space="preserve">MILENKO ADRIANA ORDONEZ NUNEZ</t>
        </is>
      </c>
      <c r="F73" s="7" t="inlineStr">
        <is>
          <t xml:space="preserve">LA PAZ</t>
        </is>
      </c>
      <c r="G73" s="10" t="inlineStr">
        <is>
          <t xml:space="preserve">ACTIVO</t>
        </is>
      </c>
      <c r="H73" s="10" t="inlineStr">
        <is>
          <t xml:space="preserve">BEX-2041</t>
        </is>
      </c>
      <c r="I73" s="10" t="inlineStr">
        <is>
          <t xml:space="preserve"/>
        </is>
      </c>
      <c r="J73" s="7" t="inlineStr">
        <is>
          <t xml:space="preserve"/>
        </is>
      </c>
    </row>
    <row r="74">
      <c r="A74" s="7" t="inlineStr">
        <is>
          <t xml:space="preserve">PER-073</t>
        </is>
      </c>
      <c r="B74" s="10" t="inlineStr">
        <is>
          <t xml:space="preserve">POR REGISTRAR</t>
        </is>
      </c>
      <c r="C74" s="7" t="inlineStr">
        <is>
          <t xml:space="preserve">SILVANA ASUNCION ORDONEZ NUNEZ</t>
        </is>
      </c>
      <c r="D74" s="10" t="inlineStr">
        <is>
          <t xml:space="preserve">AFILIADOR</t>
        </is>
      </c>
      <c r="E74" s="7" t="inlineStr">
        <is>
          <t xml:space="preserve">MILENKO ADRIANA ORDONEZ NUNEZ</t>
        </is>
      </c>
      <c r="F74" s="7" t="inlineStr">
        <is>
          <t xml:space="preserve">LA PAZ</t>
        </is>
      </c>
      <c r="G74" s="10" t="inlineStr">
        <is>
          <t xml:space="preserve">ACTIVO</t>
        </is>
      </c>
      <c r="H74" s="10" t="inlineStr">
        <is>
          <t xml:space="preserve">BEX-2042</t>
        </is>
      </c>
      <c r="I74" s="10" t="inlineStr">
        <is>
          <t xml:space="preserve"/>
        </is>
      </c>
      <c r="J74" s="7" t="inlineStr">
        <is>
          <t xml:space="preserve"/>
        </is>
      </c>
    </row>
    <row r="75">
      <c r="A75" s="7" t="inlineStr">
        <is>
          <t xml:space="preserve">PER-074</t>
        </is>
      </c>
      <c r="B75" s="10" t="inlineStr">
        <is>
          <t xml:space="preserve">POR REGISTRAR</t>
        </is>
      </c>
      <c r="C75" s="7" t="inlineStr">
        <is>
          <t xml:space="preserve">TANIA MARCA NINA</t>
        </is>
      </c>
      <c r="D75" s="10" t="inlineStr">
        <is>
          <t xml:space="preserve">AFILIADOR</t>
        </is>
      </c>
      <c r="E75" s="7" t="inlineStr">
        <is>
          <t xml:space="preserve">MILENKO ADRIANA ORDONEZ NUNEZ</t>
        </is>
      </c>
      <c r="F75" s="7" t="inlineStr">
        <is>
          <t xml:space="preserve">LA PAZ</t>
        </is>
      </c>
      <c r="G75" s="10" t="inlineStr">
        <is>
          <t xml:space="preserve">INACTIVO</t>
        </is>
      </c>
      <c r="H75" s="10" t="inlineStr">
        <is>
          <t xml:space="preserve"/>
        </is>
      </c>
      <c r="I75" s="10" t="inlineStr">
        <is>
          <t xml:space="preserve"/>
        </is>
      </c>
      <c r="J75" s="7" t="inlineStr">
        <is>
          <t xml:space="preserve"/>
        </is>
      </c>
    </row>
    <row r="76">
      <c r="A76" s="7" t="inlineStr">
        <is>
          <t xml:space="preserve">PER-075</t>
        </is>
      </c>
      <c r="B76" s="10" t="inlineStr">
        <is>
          <t xml:space="preserve">POR REGISTRAR</t>
        </is>
      </c>
      <c r="C76" s="7" t="inlineStr">
        <is>
          <t xml:space="preserve">WILMA CONDORI ARIAS</t>
        </is>
      </c>
      <c r="D76" s="10" t="inlineStr">
        <is>
          <t xml:space="preserve">AFILIADOR</t>
        </is>
      </c>
      <c r="E76" s="7" t="inlineStr">
        <is>
          <t xml:space="preserve">MILENKO ADRIANA ORDONEZ NUNEZ</t>
        </is>
      </c>
      <c r="F76" s="7" t="inlineStr">
        <is>
          <t xml:space="preserve">LA PAZ</t>
        </is>
      </c>
      <c r="G76" s="10" t="inlineStr">
        <is>
          <t xml:space="preserve">INACTIVO</t>
        </is>
      </c>
      <c r="H76" s="10" t="inlineStr">
        <is>
          <t xml:space="preserve"/>
        </is>
      </c>
      <c r="I76" s="10" t="inlineStr">
        <is>
          <t xml:space="preserve"/>
        </is>
      </c>
      <c r="J76" s="7" t="inlineStr">
        <is>
          <t xml:space="preserve"/>
        </is>
      </c>
    </row>
    <row r="77">
      <c r="A77" s="7" t="inlineStr">
        <is>
          <t xml:space="preserve">PER-076</t>
        </is>
      </c>
      <c r="B77" s="10" t="inlineStr">
        <is>
          <t xml:space="preserve">POR REGISTRAR</t>
        </is>
      </c>
      <c r="C77" s="7" t="inlineStr">
        <is>
          <t xml:space="preserve">LIONEL CHABUR</t>
        </is>
      </c>
      <c r="D77" s="10" t="inlineStr">
        <is>
          <t xml:space="preserve">SUPERVISOR</t>
        </is>
      </c>
      <c r="E77" s="7" t="inlineStr">
        <is>
          <t xml:space="preserve">LIONEL CHABUR</t>
        </is>
      </c>
      <c r="F77" s="7" t="inlineStr">
        <is>
          <t xml:space="preserve">LA PAZ</t>
        </is>
      </c>
      <c r="G77" s="10" t="inlineStr">
        <is>
          <t xml:space="preserve">ACTIVO</t>
        </is>
      </c>
      <c r="H77" s="10" t="inlineStr">
        <is>
          <t xml:space="preserve"/>
        </is>
      </c>
      <c r="I77" s="10" t="inlineStr">
        <is>
          <t xml:space="preserve"/>
        </is>
      </c>
      <c r="J77" s="7" t="inlineStr">
        <is>
          <t xml:space="preserve">Supervisor registrado en ENTREGADOS - datos incompletos</t>
        </is>
      </c>
    </row>
    <row r="78">
      <c r="A78" s="7" t="inlineStr">
        <is>
          <t xml:space="preserve">PER-077</t>
        </is>
      </c>
      <c r="B78" s="10" t="inlineStr">
        <is>
          <t xml:space="preserve">POR REGISTRAR</t>
        </is>
      </c>
      <c r="C78" s="7" t="inlineStr">
        <is>
          <t xml:space="preserve">MIRIAM ROSA CHAMBI QUISPE</t>
        </is>
      </c>
      <c r="D78" s="10" t="inlineStr">
        <is>
          <t xml:space="preserve">SUPERVISOR</t>
        </is>
      </c>
      <c r="E78" s="7" t="inlineStr">
        <is>
          <t xml:space="preserve">MIRIAM ROSA CHAMBI QUISPE</t>
        </is>
      </c>
      <c r="F78" s="7" t="inlineStr">
        <is>
          <t xml:space="preserve">ORURO</t>
        </is>
      </c>
      <c r="G78" s="10" t="inlineStr">
        <is>
          <t xml:space="preserve">ACTIVO</t>
        </is>
      </c>
      <c r="H78" s="10" t="inlineStr">
        <is>
          <t xml:space="preserve">BEX-0113</t>
        </is>
      </c>
      <c r="I78" s="10" t="inlineStr">
        <is>
          <t xml:space="preserve"/>
        </is>
      </c>
      <c r="J78" s="7" t="inlineStr">
        <is>
          <t xml:space="preserve"/>
        </is>
      </c>
    </row>
    <row r="79">
      <c r="A79" s="7" t="inlineStr">
        <is>
          <t xml:space="preserve">PER-078</t>
        </is>
      </c>
      <c r="B79" s="10" t="inlineStr">
        <is>
          <t xml:space="preserve">POR REGISTRAR</t>
        </is>
      </c>
      <c r="C79" s="7" t="inlineStr">
        <is>
          <t xml:space="preserve">ADILSON ALMANZA GOMEZ</t>
        </is>
      </c>
      <c r="D79" s="10" t="inlineStr">
        <is>
          <t xml:space="preserve">AFILIADOR</t>
        </is>
      </c>
      <c r="E79" s="7" t="inlineStr">
        <is>
          <t xml:space="preserve">MIRIAM ROSA CHAMBI QUISPE</t>
        </is>
      </c>
      <c r="F79" s="7" t="inlineStr">
        <is>
          <t xml:space="preserve">ORURO</t>
        </is>
      </c>
      <c r="G79" s="10" t="inlineStr">
        <is>
          <t xml:space="preserve">ACTIVO</t>
        </is>
      </c>
      <c r="H79" s="10" t="inlineStr">
        <is>
          <t xml:space="preserve">BEX-2043</t>
        </is>
      </c>
      <c r="I79" s="10" t="inlineStr">
        <is>
          <t xml:space="preserve"/>
        </is>
      </c>
      <c r="J79" s="7" t="inlineStr">
        <is>
          <t xml:space="preserve"/>
        </is>
      </c>
    </row>
    <row r="80">
      <c r="A80" s="7" t="inlineStr">
        <is>
          <t xml:space="preserve">PER-079</t>
        </is>
      </c>
      <c r="B80" s="10" t="inlineStr">
        <is>
          <t xml:space="preserve">POR REGISTRAR</t>
        </is>
      </c>
      <c r="C80" s="7" t="inlineStr">
        <is>
          <t xml:space="preserve">ARACELI MARLENE TAPIA GUERRA</t>
        </is>
      </c>
      <c r="D80" s="10" t="inlineStr">
        <is>
          <t xml:space="preserve">AFILIADOR</t>
        </is>
      </c>
      <c r="E80" s="7" t="inlineStr">
        <is>
          <t xml:space="preserve">MIRIAM ROSA CHAMBI QUISPE</t>
        </is>
      </c>
      <c r="F80" s="7" t="inlineStr">
        <is>
          <t xml:space="preserve">ORURO</t>
        </is>
      </c>
      <c r="G80" s="10" t="inlineStr">
        <is>
          <t xml:space="preserve">ACTIVO</t>
        </is>
      </c>
      <c r="H80" s="10" t="inlineStr">
        <is>
          <t xml:space="preserve">BEX-2044</t>
        </is>
      </c>
      <c r="I80" s="10" t="inlineStr">
        <is>
          <t xml:space="preserve"/>
        </is>
      </c>
      <c r="J80" s="7" t="inlineStr">
        <is>
          <t xml:space="preserve"/>
        </is>
      </c>
    </row>
    <row r="81">
      <c r="A81" s="7" t="inlineStr">
        <is>
          <t xml:space="preserve">PER-080</t>
        </is>
      </c>
      <c r="B81" s="10" t="inlineStr">
        <is>
          <t xml:space="preserve">POR REGISTRAR</t>
        </is>
      </c>
      <c r="C81" s="7" t="inlineStr">
        <is>
          <t xml:space="preserve">CAROLINA KIMBERLY QUISPE ARANCIBIA</t>
        </is>
      </c>
      <c r="D81" s="10" t="inlineStr">
        <is>
          <t xml:space="preserve">AFILIADOR</t>
        </is>
      </c>
      <c r="E81" s="7" t="inlineStr">
        <is>
          <t xml:space="preserve">MIRIAM ROSA CHAMBI QUISPE</t>
        </is>
      </c>
      <c r="F81" s="7" t="inlineStr">
        <is>
          <t xml:space="preserve">ORURO</t>
        </is>
      </c>
      <c r="G81" s="10" t="inlineStr">
        <is>
          <t xml:space="preserve">ACTIVO</t>
        </is>
      </c>
      <c r="H81" s="10" t="inlineStr">
        <is>
          <t xml:space="preserve">BEX-0119</t>
        </is>
      </c>
      <c r="I81" s="10" t="inlineStr">
        <is>
          <t xml:space="preserve"/>
        </is>
      </c>
      <c r="J81" s="7" t="inlineStr">
        <is>
          <t xml:space="preserve"/>
        </is>
      </c>
    </row>
    <row r="82">
      <c r="A82" s="7" t="inlineStr">
        <is>
          <t xml:space="preserve">PER-081</t>
        </is>
      </c>
      <c r="B82" s="10" t="inlineStr">
        <is>
          <t xml:space="preserve">POR REGISTRAR</t>
        </is>
      </c>
      <c r="C82" s="7" t="inlineStr">
        <is>
          <t xml:space="preserve">CRUZ TORRICO TATIANA CRISTINA</t>
        </is>
      </c>
      <c r="D82" s="10" t="inlineStr">
        <is>
          <t xml:space="preserve">AFILIADOR</t>
        </is>
      </c>
      <c r="E82" s="7" t="inlineStr">
        <is>
          <t xml:space="preserve">MIRIAM ROSA CHAMBI QUISPE</t>
        </is>
      </c>
      <c r="F82" s="7" t="inlineStr">
        <is>
          <t xml:space="preserve">ORURO</t>
        </is>
      </c>
      <c r="G82" s="10" t="inlineStr">
        <is>
          <t xml:space="preserve">ACTIVO</t>
        </is>
      </c>
      <c r="H82" s="10" t="inlineStr">
        <is>
          <t xml:space="preserve">BEX-0118</t>
        </is>
      </c>
      <c r="I82" s="10" t="inlineStr">
        <is>
          <t xml:space="preserve"/>
        </is>
      </c>
      <c r="J82" s="7" t="inlineStr">
        <is>
          <t xml:space="preserve"/>
        </is>
      </c>
    </row>
    <row r="83">
      <c r="A83" s="7" t="inlineStr">
        <is>
          <t xml:space="preserve">PER-082</t>
        </is>
      </c>
      <c r="B83" s="10" t="inlineStr">
        <is>
          <t xml:space="preserve">POR REGISTRAR</t>
        </is>
      </c>
      <c r="C83" s="7" t="inlineStr">
        <is>
          <t xml:space="preserve">DAYANA CELENCA CHACON PINTO</t>
        </is>
      </c>
      <c r="D83" s="10" t="inlineStr">
        <is>
          <t xml:space="preserve">AFILIADOR</t>
        </is>
      </c>
      <c r="E83" s="7" t="inlineStr">
        <is>
          <t xml:space="preserve">MIRIAM ROSA CHAMBI QUISPE</t>
        </is>
      </c>
      <c r="F83" s="7" t="inlineStr">
        <is>
          <t xml:space="preserve">ORURO</t>
        </is>
      </c>
      <c r="G83" s="10" t="inlineStr">
        <is>
          <t xml:space="preserve">ACTIVO</t>
        </is>
      </c>
      <c r="H83" s="10" t="inlineStr">
        <is>
          <t xml:space="preserve">BEX-0514</t>
        </is>
      </c>
      <c r="I83" s="10" t="inlineStr">
        <is>
          <t xml:space="preserve"/>
        </is>
      </c>
      <c r="J83" s="7" t="inlineStr">
        <is>
          <t xml:space="preserve"/>
        </is>
      </c>
    </row>
    <row r="84">
      <c r="A84" s="7" t="inlineStr">
        <is>
          <t xml:space="preserve">PER-083</t>
        </is>
      </c>
      <c r="B84" s="10" t="inlineStr">
        <is>
          <t xml:space="preserve">POR REGISTRAR</t>
        </is>
      </c>
      <c r="C84" s="7" t="inlineStr">
        <is>
          <t xml:space="preserve">DIEGO GORENA LINEO</t>
        </is>
      </c>
      <c r="D84" s="10" t="inlineStr">
        <is>
          <t xml:space="preserve">AFILIADOR</t>
        </is>
      </c>
      <c r="E84" s="7" t="inlineStr">
        <is>
          <t xml:space="preserve">MIRIAM ROSA CHAMBI QUISPE</t>
        </is>
      </c>
      <c r="F84" s="7" t="inlineStr">
        <is>
          <t xml:space="preserve">ORURO</t>
        </is>
      </c>
      <c r="G84" s="10" t="inlineStr">
        <is>
          <t xml:space="preserve">INACTIVO</t>
        </is>
      </c>
      <c r="H84" s="10" t="inlineStr">
        <is>
          <t xml:space="preserve"/>
        </is>
      </c>
      <c r="I84" s="10" t="inlineStr">
        <is>
          <t xml:space="preserve"/>
        </is>
      </c>
      <c r="J84" s="7" t="inlineStr">
        <is>
          <t xml:space="preserve"/>
        </is>
      </c>
    </row>
    <row r="85">
      <c r="A85" s="7" t="inlineStr">
        <is>
          <t xml:space="preserve">PER-084</t>
        </is>
      </c>
      <c r="B85" s="10" t="inlineStr">
        <is>
          <t xml:space="preserve">POR REGISTRAR</t>
        </is>
      </c>
      <c r="C85" s="7" t="inlineStr">
        <is>
          <t xml:space="preserve">DORIAN KEVIN RAMIREZ MAMANI</t>
        </is>
      </c>
      <c r="D85" s="10" t="inlineStr">
        <is>
          <t xml:space="preserve">AFILIADOR</t>
        </is>
      </c>
      <c r="E85" s="7" t="inlineStr">
        <is>
          <t xml:space="preserve">MIRIAM ROSA CHAMBI QUISPE</t>
        </is>
      </c>
      <c r="F85" s="7" t="inlineStr">
        <is>
          <t xml:space="preserve">ORURO</t>
        </is>
      </c>
      <c r="G85" s="10" t="inlineStr">
        <is>
          <t xml:space="preserve">INACTIVO</t>
        </is>
      </c>
      <c r="H85" s="10" t="inlineStr">
        <is>
          <t xml:space="preserve"/>
        </is>
      </c>
      <c r="I85" s="10" t="inlineStr">
        <is>
          <t xml:space="preserve"/>
        </is>
      </c>
      <c r="J85" s="7" t="inlineStr">
        <is>
          <t xml:space="preserve"/>
        </is>
      </c>
    </row>
    <row r="86">
      <c r="A86" s="7" t="inlineStr">
        <is>
          <t xml:space="preserve">PER-085</t>
        </is>
      </c>
      <c r="B86" s="10" t="inlineStr">
        <is>
          <t xml:space="preserve">POR REGISTRAR</t>
        </is>
      </c>
      <c r="C86" s="7" t="inlineStr">
        <is>
          <t xml:space="preserve">GIMENA MELVIS HUANCA GOMEZ</t>
        </is>
      </c>
      <c r="D86" s="10" t="inlineStr">
        <is>
          <t xml:space="preserve">AFILIADOR</t>
        </is>
      </c>
      <c r="E86" s="7" t="inlineStr">
        <is>
          <t xml:space="preserve">MIRIAM ROSA CHAMBI QUISPE</t>
        </is>
      </c>
      <c r="F86" s="7" t="inlineStr">
        <is>
          <t xml:space="preserve">ORURO</t>
        </is>
      </c>
      <c r="G86" s="10" t="inlineStr">
        <is>
          <t xml:space="preserve">ACTIVO</t>
        </is>
      </c>
      <c r="H86" s="10" t="inlineStr">
        <is>
          <t xml:space="preserve">BEX-0116</t>
        </is>
      </c>
      <c r="I86" s="10" t="inlineStr">
        <is>
          <t xml:space="preserve"/>
        </is>
      </c>
      <c r="J86" s="7" t="inlineStr">
        <is>
          <t xml:space="preserve"/>
        </is>
      </c>
    </row>
    <row r="87">
      <c r="A87" s="7" t="inlineStr">
        <is>
          <t xml:space="preserve">PER-086</t>
        </is>
      </c>
      <c r="B87" s="10" t="inlineStr">
        <is>
          <t xml:space="preserve">POR REGISTRAR</t>
        </is>
      </c>
      <c r="C87" s="7" t="inlineStr">
        <is>
          <t xml:space="preserve">JUAN JOSE MARQUEZ LLAVETA</t>
        </is>
      </c>
      <c r="D87" s="10" t="inlineStr">
        <is>
          <t xml:space="preserve">AFILIADOR</t>
        </is>
      </c>
      <c r="E87" s="7" t="inlineStr">
        <is>
          <t xml:space="preserve">MIRIAM ROSA CHAMBI QUISPE</t>
        </is>
      </c>
      <c r="F87" s="7" t="inlineStr">
        <is>
          <t xml:space="preserve">ORURO</t>
        </is>
      </c>
      <c r="G87" s="10" t="inlineStr">
        <is>
          <t xml:space="preserve">INACTIVO</t>
        </is>
      </c>
      <c r="H87" s="10" t="inlineStr">
        <is>
          <t xml:space="preserve"/>
        </is>
      </c>
      <c r="I87" s="10" t="inlineStr">
        <is>
          <t xml:space="preserve"/>
        </is>
      </c>
      <c r="J87" s="7" t="inlineStr">
        <is>
          <t xml:space="preserve"/>
        </is>
      </c>
    </row>
    <row r="88">
      <c r="A88" s="7" t="inlineStr">
        <is>
          <t xml:space="preserve">PER-087</t>
        </is>
      </c>
      <c r="B88" s="10" t="inlineStr">
        <is>
          <t xml:space="preserve">POR REGISTRAR</t>
        </is>
      </c>
      <c r="C88" s="7" t="inlineStr">
        <is>
          <t xml:space="preserve">LUZ MARIBEL VIRACA TAQUIMALLCO</t>
        </is>
      </c>
      <c r="D88" s="10" t="inlineStr">
        <is>
          <t xml:space="preserve">AFILIADOR</t>
        </is>
      </c>
      <c r="E88" s="7" t="inlineStr">
        <is>
          <t xml:space="preserve">MIRIAM ROSA CHAMBI QUISPE</t>
        </is>
      </c>
      <c r="F88" s="7" t="inlineStr">
        <is>
          <t xml:space="preserve">ORURO</t>
        </is>
      </c>
      <c r="G88" s="10" t="inlineStr">
        <is>
          <t xml:space="preserve">ACTIVO</t>
        </is>
      </c>
      <c r="H88" s="10" t="inlineStr">
        <is>
          <t xml:space="preserve">BEX-0114</t>
        </is>
      </c>
      <c r="I88" s="10" t="inlineStr">
        <is>
          <t xml:space="preserve"/>
        </is>
      </c>
      <c r="J88" s="7" t="inlineStr">
        <is>
          <t xml:space="preserve"/>
        </is>
      </c>
    </row>
    <row r="89">
      <c r="A89" s="7" t="inlineStr">
        <is>
          <t xml:space="preserve">PER-088</t>
        </is>
      </c>
      <c r="B89" s="10" t="inlineStr">
        <is>
          <t xml:space="preserve">POR REGISTRAR</t>
        </is>
      </c>
      <c r="C89" s="7" t="inlineStr">
        <is>
          <t xml:space="preserve">RICHAR YAMIL AVAREZ CANAVIRI</t>
        </is>
      </c>
      <c r="D89" s="10" t="inlineStr">
        <is>
          <t xml:space="preserve">AFILIADOR</t>
        </is>
      </c>
      <c r="E89" s="7" t="inlineStr">
        <is>
          <t xml:space="preserve">MIRIAM ROSA CHAMBI QUISPE</t>
        </is>
      </c>
      <c r="F89" s="7" t="inlineStr">
        <is>
          <t xml:space="preserve">ORURO</t>
        </is>
      </c>
      <c r="G89" s="10" t="inlineStr">
        <is>
          <t xml:space="preserve">ACTIVO</t>
        </is>
      </c>
      <c r="H89" s="10" t="inlineStr">
        <is>
          <t xml:space="preserve">BEX-0117</t>
        </is>
      </c>
      <c r="I89" s="10" t="inlineStr">
        <is>
          <t xml:space="preserve"/>
        </is>
      </c>
      <c r="J89" s="7" t="inlineStr">
        <is>
          <t xml:space="preserve"/>
        </is>
      </c>
    </row>
    <row r="90">
      <c r="A90" s="7" t="inlineStr">
        <is>
          <t xml:space="preserve">PER-089</t>
        </is>
      </c>
      <c r="B90" s="10" t="inlineStr">
        <is>
          <t xml:space="preserve">POR REGISTRAR</t>
        </is>
      </c>
      <c r="C90" s="7" t="inlineStr">
        <is>
          <t xml:space="preserve">ZULMA FLORES CARICARI</t>
        </is>
      </c>
      <c r="D90" s="10" t="inlineStr">
        <is>
          <t xml:space="preserve">AFILIADOR</t>
        </is>
      </c>
      <c r="E90" s="7" t="inlineStr">
        <is>
          <t xml:space="preserve">MIRIAM ROSA CHAMBI QUISPE</t>
        </is>
      </c>
      <c r="F90" s="7" t="inlineStr">
        <is>
          <t xml:space="preserve">ORURO</t>
        </is>
      </c>
      <c r="G90" s="10" t="inlineStr">
        <is>
          <t xml:space="preserve">ACTIVO</t>
        </is>
      </c>
      <c r="H90" s="10" t="inlineStr">
        <is>
          <t xml:space="preserve">BEX-0115</t>
        </is>
      </c>
      <c r="I90" s="10" t="inlineStr">
        <is>
          <t xml:space="preserve"/>
        </is>
      </c>
      <c r="J90" s="7" t="inlineStr">
        <is>
          <t xml:space="preserve"/>
        </is>
      </c>
    </row>
    <row r="91">
      <c r="A91" s="7" t="inlineStr">
        <is>
          <t xml:space="preserve">PER-090</t>
        </is>
      </c>
      <c r="B91" s="10" t="inlineStr">
        <is>
          <t xml:space="preserve">POR REGISTRAR</t>
        </is>
      </c>
      <c r="C91" s="7" t="inlineStr">
        <is>
          <t xml:space="preserve">JORGE SAAVEDRA</t>
        </is>
      </c>
      <c r="D91" s="10" t="inlineStr">
        <is>
          <t xml:space="preserve">SUPERVISOR</t>
        </is>
      </c>
      <c r="E91" s="7" t="inlineStr">
        <is>
          <t xml:space="preserve">JORGE SAAVEDRA</t>
        </is>
      </c>
      <c r="F91" s="7" t="inlineStr">
        <is>
          <t xml:space="preserve">SANTA CRUZ</t>
        </is>
      </c>
      <c r="G91" s="10" t="inlineStr">
        <is>
          <t xml:space="preserve">ACTIVO</t>
        </is>
      </c>
      <c r="H91" s="10" t="inlineStr">
        <is>
          <t xml:space="preserve">BEX-2000</t>
        </is>
      </c>
      <c r="I91" s="10" t="inlineStr">
        <is>
          <t xml:space="preserve"/>
        </is>
      </c>
      <c r="J91" s="7" t="inlineStr">
        <is>
          <t xml:space="preserve">Registrado solo en ENTREGADOS</t>
        </is>
      </c>
    </row>
    <row r="92">
      <c r="A92" s="7" t="inlineStr">
        <is>
          <t xml:space="preserve">PER-091</t>
        </is>
      </c>
      <c r="B92" s="10" t="inlineStr">
        <is>
          <t xml:space="preserve">POR REGISTRAR</t>
        </is>
      </c>
      <c r="C92" s="7" t="inlineStr">
        <is>
          <t xml:space="preserve">BEATRIZ OVIEDO OVIEDO</t>
        </is>
      </c>
      <c r="D92" s="10" t="inlineStr">
        <is>
          <t xml:space="preserve">SUPERVISOR</t>
        </is>
      </c>
      <c r="E92" s="7" t="inlineStr">
        <is>
          <t xml:space="preserve">BEATRIZ OVIEDO OVIEDO</t>
        </is>
      </c>
      <c r="F92" s="7" t="inlineStr">
        <is>
          <t xml:space="preserve">SANTA CRUZ</t>
        </is>
      </c>
      <c r="G92" s="10" t="inlineStr">
        <is>
          <t xml:space="preserve">ACTIVO</t>
        </is>
      </c>
      <c r="H92" s="10" t="inlineStr">
        <is>
          <t xml:space="preserve">BEX-0196</t>
        </is>
      </c>
      <c r="I92" s="10" t="inlineStr">
        <is>
          <t xml:space="preserve"/>
        </is>
      </c>
      <c r="J92" s="7" t="inlineStr">
        <is>
          <t xml:space="preserve"/>
        </is>
      </c>
    </row>
    <row r="93">
      <c r="A93" s="7" t="inlineStr">
        <is>
          <t xml:space="preserve">PER-092</t>
        </is>
      </c>
      <c r="B93" s="10" t="inlineStr">
        <is>
          <t xml:space="preserve">POR REGISTRAR</t>
        </is>
      </c>
      <c r="C93" s="7" t="inlineStr">
        <is>
          <t xml:space="preserve">ADRIAN ENRIQUE LOPEZ MERUBIA</t>
        </is>
      </c>
      <c r="D93" s="10" t="inlineStr">
        <is>
          <t xml:space="preserve">AFILIADOR</t>
        </is>
      </c>
      <c r="E93" s="7" t="inlineStr">
        <is>
          <t xml:space="preserve">BEATRIZ OVIEDO OVIEDO</t>
        </is>
      </c>
      <c r="F93" s="7" t="inlineStr">
        <is>
          <t xml:space="preserve">SANTA CRUZ</t>
        </is>
      </c>
      <c r="G93" s="10" t="inlineStr">
        <is>
          <t xml:space="preserve">INACTIVO</t>
        </is>
      </c>
      <c r="H93" s="10" t="inlineStr">
        <is>
          <t xml:space="preserve"/>
        </is>
      </c>
      <c r="I93" s="10" t="inlineStr">
        <is>
          <t xml:space="preserve"/>
        </is>
      </c>
      <c r="J93" s="7" t="inlineStr">
        <is>
          <t xml:space="preserve"/>
        </is>
      </c>
    </row>
    <row r="94">
      <c r="A94" s="7" t="inlineStr">
        <is>
          <t xml:space="preserve">PER-093</t>
        </is>
      </c>
      <c r="B94" s="10" t="inlineStr">
        <is>
          <t xml:space="preserve">POR REGISTRAR</t>
        </is>
      </c>
      <c r="C94" s="7" t="inlineStr">
        <is>
          <t xml:space="preserve">ANGELES NETZ CESPEDES</t>
        </is>
      </c>
      <c r="D94" s="10" t="inlineStr">
        <is>
          <t xml:space="preserve">AFILIADOR</t>
        </is>
      </c>
      <c r="E94" s="7" t="inlineStr">
        <is>
          <t xml:space="preserve">BEATRIZ OVIEDO OVIEDO</t>
        </is>
      </c>
      <c r="F94" s="7" t="inlineStr">
        <is>
          <t xml:space="preserve">SANTA CRUZ</t>
        </is>
      </c>
      <c r="G94" s="10" t="inlineStr">
        <is>
          <t xml:space="preserve">INACTIVO</t>
        </is>
      </c>
      <c r="H94" s="10" t="inlineStr">
        <is>
          <t xml:space="preserve"/>
        </is>
      </c>
      <c r="I94" s="10" t="inlineStr">
        <is>
          <t xml:space="preserve"/>
        </is>
      </c>
      <c r="J94" s="7" t="inlineStr">
        <is>
          <t xml:space="preserve"/>
        </is>
      </c>
    </row>
    <row r="95">
      <c r="A95" s="7" t="inlineStr">
        <is>
          <t xml:space="preserve">PER-094</t>
        </is>
      </c>
      <c r="B95" s="10" t="inlineStr">
        <is>
          <t xml:space="preserve">POR REGISTRAR</t>
        </is>
      </c>
      <c r="C95" s="7" t="inlineStr">
        <is>
          <t xml:space="preserve">BRENDA XIMENA BARBA VACA</t>
        </is>
      </c>
      <c r="D95" s="10" t="inlineStr">
        <is>
          <t xml:space="preserve">AFILIADOR</t>
        </is>
      </c>
      <c r="E95" s="7" t="inlineStr">
        <is>
          <t xml:space="preserve">BEATRIZ OVIEDO OVIEDO</t>
        </is>
      </c>
      <c r="F95" s="7" t="inlineStr">
        <is>
          <t xml:space="preserve">SANTA CRUZ</t>
        </is>
      </c>
      <c r="G95" s="10" t="inlineStr">
        <is>
          <t xml:space="preserve">ACTIVO</t>
        </is>
      </c>
      <c r="H95" s="10" t="inlineStr">
        <is>
          <t xml:space="preserve">BEX-2045</t>
        </is>
      </c>
      <c r="I95" s="10" t="inlineStr">
        <is>
          <t xml:space="preserve"/>
        </is>
      </c>
      <c r="J95" s="7" t="inlineStr">
        <is>
          <t xml:space="preserve">Perdio credencial anterior - COBRAR POR PERDIDA</t>
        </is>
      </c>
    </row>
    <row r="96">
      <c r="A96" s="7" t="inlineStr">
        <is>
          <t xml:space="preserve">PER-095</t>
        </is>
      </c>
      <c r="B96" s="10" t="inlineStr">
        <is>
          <t xml:space="preserve">POR REGISTRAR</t>
        </is>
      </c>
      <c r="C96" s="7" t="inlineStr">
        <is>
          <t xml:space="preserve">DEIBY TASEO GUASASE</t>
        </is>
      </c>
      <c r="D96" s="10" t="inlineStr">
        <is>
          <t xml:space="preserve">AFILIADOR</t>
        </is>
      </c>
      <c r="E96" s="7" t="inlineStr">
        <is>
          <t xml:space="preserve">BEATRIZ OVIEDO OVIEDO</t>
        </is>
      </c>
      <c r="F96" s="7" t="inlineStr">
        <is>
          <t xml:space="preserve">SANTA CRUZ</t>
        </is>
      </c>
      <c r="G96" s="10" t="inlineStr">
        <is>
          <t xml:space="preserve">INACTIVO</t>
        </is>
      </c>
      <c r="H96" s="10" t="inlineStr">
        <is>
          <t xml:space="preserve"/>
        </is>
      </c>
      <c r="I96" s="10" t="inlineStr">
        <is>
          <t xml:space="preserve"/>
        </is>
      </c>
      <c r="J96" s="7" t="inlineStr">
        <is>
          <t xml:space="preserve"/>
        </is>
      </c>
    </row>
    <row r="97">
      <c r="A97" s="7" t="inlineStr">
        <is>
          <t xml:space="preserve">PER-096</t>
        </is>
      </c>
      <c r="B97" s="10" t="inlineStr">
        <is>
          <t xml:space="preserve">POR REGISTRAR</t>
        </is>
      </c>
      <c r="C97" s="7" t="inlineStr">
        <is>
          <t xml:space="preserve">JIMENA RIVERO LOAYZA</t>
        </is>
      </c>
      <c r="D97" s="10" t="inlineStr">
        <is>
          <t xml:space="preserve">AFILIADOR</t>
        </is>
      </c>
      <c r="E97" s="7" t="inlineStr">
        <is>
          <t xml:space="preserve">BEATRIZ OVIEDO OVIEDO</t>
        </is>
      </c>
      <c r="F97" s="7" t="inlineStr">
        <is>
          <t xml:space="preserve">SANTA CRUZ</t>
        </is>
      </c>
      <c r="G97" s="10" t="inlineStr">
        <is>
          <t xml:space="preserve">ACTIVO</t>
        </is>
      </c>
      <c r="H97" s="10" t="inlineStr">
        <is>
          <t xml:space="preserve">BEX-0510</t>
        </is>
      </c>
      <c r="I97" s="10" t="inlineStr">
        <is>
          <t xml:space="preserve"/>
        </is>
      </c>
      <c r="J97" s="7" t="inlineStr">
        <is>
          <t xml:space="preserve"/>
        </is>
      </c>
    </row>
    <row r="98">
      <c r="A98" s="7" t="inlineStr">
        <is>
          <t xml:space="preserve">PER-097</t>
        </is>
      </c>
      <c r="B98" s="10" t="inlineStr">
        <is>
          <t xml:space="preserve">POR REGISTRAR</t>
        </is>
      </c>
      <c r="C98" s="7" t="inlineStr">
        <is>
          <t xml:space="preserve">LUIS FERNANDO ARAGUIRA CHAMO</t>
        </is>
      </c>
      <c r="D98" s="10" t="inlineStr">
        <is>
          <t xml:space="preserve">AFILIADOR</t>
        </is>
      </c>
      <c r="E98" s="7" t="inlineStr">
        <is>
          <t xml:space="preserve">BEATRIZ OVIEDO OVIEDO</t>
        </is>
      </c>
      <c r="F98" s="7" t="inlineStr">
        <is>
          <t xml:space="preserve">SANTA CRUZ</t>
        </is>
      </c>
      <c r="G98" s="10" t="inlineStr">
        <is>
          <t xml:space="preserve">ACTIVO</t>
        </is>
      </c>
      <c r="H98" s="10" t="inlineStr">
        <is>
          <t xml:space="preserve">BEX-0501</t>
        </is>
      </c>
      <c r="I98" s="10" t="inlineStr">
        <is>
          <t xml:space="preserve"/>
        </is>
      </c>
      <c r="J98" s="7" t="inlineStr">
        <is>
          <t xml:space="preserve"/>
        </is>
      </c>
    </row>
    <row r="99">
      <c r="A99" s="7" t="inlineStr">
        <is>
          <t xml:space="preserve">PER-098</t>
        </is>
      </c>
      <c r="B99" s="10" t="inlineStr">
        <is>
          <t xml:space="preserve">POR REGISTRAR</t>
        </is>
      </c>
      <c r="C99" s="7" t="inlineStr">
        <is>
          <t xml:space="preserve">MARCO ANTONIO ESCOBAR ALVAREZ</t>
        </is>
      </c>
      <c r="D99" s="10" t="inlineStr">
        <is>
          <t xml:space="preserve">AFILIADOR</t>
        </is>
      </c>
      <c r="E99" s="7" t="inlineStr">
        <is>
          <t xml:space="preserve">BEATRIZ OVIEDO OVIEDO</t>
        </is>
      </c>
      <c r="F99" s="7" t="inlineStr">
        <is>
          <t xml:space="preserve">SANTA CRUZ</t>
        </is>
      </c>
      <c r="G99" s="10" t="inlineStr">
        <is>
          <t xml:space="preserve">ACTIVO</t>
        </is>
      </c>
      <c r="H99" s="10" t="inlineStr">
        <is>
          <t xml:space="preserve">BEX-2046</t>
        </is>
      </c>
      <c r="I99" s="10" t="inlineStr">
        <is>
          <t xml:space="preserve"/>
        </is>
      </c>
      <c r="J99" s="7" t="inlineStr">
        <is>
          <t xml:space="preserve">Perdio BEX-0518 - COBRAR POR PERDIDA</t>
        </is>
      </c>
    </row>
    <row r="100">
      <c r="A100" s="7" t="inlineStr">
        <is>
          <t xml:space="preserve">PER-099</t>
        </is>
      </c>
      <c r="B100" s="10" t="inlineStr">
        <is>
          <t xml:space="preserve">POR REGISTRAR</t>
        </is>
      </c>
      <c r="C100" s="7" t="inlineStr">
        <is>
          <t xml:space="preserve">SANDRA VERONICA VEGA TROCHE</t>
        </is>
      </c>
      <c r="D100" s="10" t="inlineStr">
        <is>
          <t xml:space="preserve">AFILIADOR</t>
        </is>
      </c>
      <c r="E100" s="7" t="inlineStr">
        <is>
          <t xml:space="preserve">BEATRIZ OVIEDO OVIEDO</t>
        </is>
      </c>
      <c r="F100" s="7" t="inlineStr">
        <is>
          <t xml:space="preserve">SANTA CRUZ</t>
        </is>
      </c>
      <c r="G100" s="10" t="inlineStr">
        <is>
          <t xml:space="preserve">INACTIVO</t>
        </is>
      </c>
      <c r="H100" s="10" t="inlineStr">
        <is>
          <t xml:space="preserve"/>
        </is>
      </c>
      <c r="I100" s="10" t="inlineStr">
        <is>
          <t xml:space="preserve"/>
        </is>
      </c>
      <c r="J100" s="7" t="inlineStr">
        <is>
          <t xml:space="preserve">Gestora indico no le entregaron credencial</t>
        </is>
      </c>
    </row>
    <row r="101">
      <c r="A101" s="7" t="inlineStr">
        <is>
          <t xml:space="preserve">PER-100</t>
        </is>
      </c>
      <c r="B101" s="10" t="inlineStr">
        <is>
          <t xml:space="preserve">POR REGISTRAR</t>
        </is>
      </c>
      <c r="C101" s="7" t="inlineStr">
        <is>
          <t xml:space="preserve">SERAFIN LAYME MEDINA</t>
        </is>
      </c>
      <c r="D101" s="10" t="inlineStr">
        <is>
          <t xml:space="preserve">AFILIADOR</t>
        </is>
      </c>
      <c r="E101" s="7" t="inlineStr">
        <is>
          <t xml:space="preserve">BEATRIZ OVIEDO OVIEDO</t>
        </is>
      </c>
      <c r="F101" s="7" t="inlineStr">
        <is>
          <t xml:space="preserve">SANTA CRUZ</t>
        </is>
      </c>
      <c r="G101" s="10" t="inlineStr">
        <is>
          <t xml:space="preserve">INACTIVO</t>
        </is>
      </c>
      <c r="H101" s="10" t="inlineStr">
        <is>
          <t xml:space="preserve"/>
        </is>
      </c>
      <c r="I101" s="10" t="inlineStr">
        <is>
          <t xml:space="preserve"/>
        </is>
      </c>
      <c r="J101" s="7" t="inlineStr">
        <is>
          <t xml:space="preserve"/>
        </is>
      </c>
    </row>
    <row r="102">
      <c r="A102" s="7" t="inlineStr">
        <is>
          <t xml:space="preserve">PER-101</t>
        </is>
      </c>
      <c r="B102" s="10" t="inlineStr">
        <is>
          <t xml:space="preserve">POR REGISTRAR</t>
        </is>
      </c>
      <c r="C102" s="7" t="inlineStr">
        <is>
          <t xml:space="preserve">TOMAS (NOMBRE INCOMPLETO)</t>
        </is>
      </c>
      <c r="D102" s="10" t="inlineStr">
        <is>
          <t xml:space="preserve">AFILIADOR</t>
        </is>
      </c>
      <c r="E102" s="7" t="inlineStr">
        <is>
          <t xml:space="preserve">BEATRIZ OVIEDO OVIEDO</t>
        </is>
      </c>
      <c r="F102" s="7" t="inlineStr">
        <is>
          <t xml:space="preserve">SANTA CRUZ</t>
        </is>
      </c>
      <c r="G102" s="10" t="inlineStr">
        <is>
          <t xml:space="preserve">ACTIVO</t>
        </is>
      </c>
      <c r="H102" s="10" t="inlineStr">
        <is>
          <t xml:space="preserve">BEX-0505</t>
        </is>
      </c>
      <c r="I102" s="10" t="inlineStr">
        <is>
          <t xml:space="preserve"/>
        </is>
      </c>
      <c r="J102" s="7" t="inlineStr">
        <is>
          <t xml:space="preserve">Completar nombre completo</t>
        </is>
      </c>
    </row>
    <row r="103">
      <c r="A103" s="7" t="inlineStr">
        <is>
          <t xml:space="preserve">PER-102</t>
        </is>
      </c>
      <c r="B103" s="10" t="inlineStr">
        <is>
          <t xml:space="preserve">POR REGISTRAR</t>
        </is>
      </c>
      <c r="C103" s="7" t="inlineStr">
        <is>
          <t xml:space="preserve">LORENA (NOMBRE INCOMPLETO)</t>
        </is>
      </c>
      <c r="D103" s="10" t="inlineStr">
        <is>
          <t xml:space="preserve">AFILIADOR</t>
        </is>
      </c>
      <c r="E103" s="7" t="inlineStr">
        <is>
          <t xml:space="preserve">BEATRIZ OVIEDO OVIEDO</t>
        </is>
      </c>
      <c r="F103" s="7" t="inlineStr">
        <is>
          <t xml:space="preserve">SANTA CRUZ</t>
        </is>
      </c>
      <c r="G103" s="10" t="inlineStr">
        <is>
          <t xml:space="preserve">INACTIVO</t>
        </is>
      </c>
      <c r="H103" s="10" t="inlineStr">
        <is>
          <t xml:space="preserve">BEX-0195</t>
        </is>
      </c>
      <c r="I103" s="10" t="inlineStr">
        <is>
          <t xml:space="preserve"/>
        </is>
      </c>
      <c r="J103" s="7" t="inlineStr">
        <is>
          <t xml:space="preserve">Completar nombre completo</t>
        </is>
      </c>
    </row>
    <row r="104">
      <c r="A104" s="7" t="inlineStr">
        <is>
          <t xml:space="preserve">PER-103</t>
        </is>
      </c>
      <c r="B104" s="10" t="inlineStr">
        <is>
          <t xml:space="preserve">POR REGISTRAR</t>
        </is>
      </c>
      <c r="C104" s="7" t="inlineStr">
        <is>
          <t xml:space="preserve">DELIA JORDAN FACUSSE</t>
        </is>
      </c>
      <c r="D104" s="10" t="inlineStr">
        <is>
          <t xml:space="preserve">SUPERVISOR</t>
        </is>
      </c>
      <c r="E104" s="7" t="inlineStr">
        <is>
          <t xml:space="preserve">DELIA JORDAN FACUSSE</t>
        </is>
      </c>
      <c r="F104" s="7" t="inlineStr">
        <is>
          <t xml:space="preserve">SANTA CRUZ</t>
        </is>
      </c>
      <c r="G104" s="10" t="inlineStr">
        <is>
          <t xml:space="preserve">ACTIVO</t>
        </is>
      </c>
      <c r="H104" s="10" t="inlineStr">
        <is>
          <t xml:space="preserve"/>
        </is>
      </c>
      <c r="I104" s="10" t="inlineStr">
        <is>
          <t xml:space="preserve"/>
        </is>
      </c>
      <c r="J104" s="7" t="inlineStr">
        <is>
          <t xml:space="preserve"/>
        </is>
      </c>
    </row>
    <row r="105">
      <c r="A105" s="7" t="inlineStr">
        <is>
          <t xml:space="preserve">PER-104</t>
        </is>
      </c>
      <c r="B105" s="10" t="inlineStr">
        <is>
          <t xml:space="preserve">POR REGISTRAR</t>
        </is>
      </c>
      <c r="C105" s="7" t="inlineStr">
        <is>
          <t xml:space="preserve">DIANA HERRERA DORADO</t>
        </is>
      </c>
      <c r="D105" s="10" t="inlineStr">
        <is>
          <t xml:space="preserve">AFILIADOR</t>
        </is>
      </c>
      <c r="E105" s="7" t="inlineStr">
        <is>
          <t xml:space="preserve">DELIA JORDAN FACUSSE</t>
        </is>
      </c>
      <c r="F105" s="7" t="inlineStr">
        <is>
          <t xml:space="preserve">SANTA CRUZ</t>
        </is>
      </c>
      <c r="G105" s="10" t="inlineStr">
        <is>
          <t xml:space="preserve">ACTIVO</t>
        </is>
      </c>
      <c r="H105" s="10" t="inlineStr">
        <is>
          <t xml:space="preserve">BEX-2001</t>
        </is>
      </c>
      <c r="I105" s="10" t="inlineStr">
        <is>
          <t xml:space="preserve"/>
        </is>
      </c>
      <c r="J105" s="7" t="inlineStr">
        <is>
          <t xml:space="preserve">Sin asignar fisicamente</t>
        </is>
      </c>
    </row>
    <row r="106">
      <c r="A106" s="7" t="inlineStr">
        <is>
          <t xml:space="preserve">PER-105</t>
        </is>
      </c>
      <c r="B106" s="10" t="inlineStr">
        <is>
          <t xml:space="preserve">POR REGISTRAR</t>
        </is>
      </c>
      <c r="C106" s="7" t="inlineStr">
        <is>
          <t xml:space="preserve">EIBRAJAM ANEZ ROJAS</t>
        </is>
      </c>
      <c r="D106" s="10" t="inlineStr">
        <is>
          <t xml:space="preserve">AFILIADOR</t>
        </is>
      </c>
      <c r="E106" s="7" t="inlineStr">
        <is>
          <t xml:space="preserve">DELIA JORDAN FACUSSE</t>
        </is>
      </c>
      <c r="F106" s="7" t="inlineStr">
        <is>
          <t xml:space="preserve">SANTA CRUZ</t>
        </is>
      </c>
      <c r="G106" s="10" t="inlineStr">
        <is>
          <t xml:space="preserve">ACTIVO</t>
        </is>
      </c>
      <c r="H106" s="10" t="inlineStr">
        <is>
          <t xml:space="preserve">BEX-2002</t>
        </is>
      </c>
      <c r="I106" s="10" t="inlineStr">
        <is>
          <t xml:space="preserve"/>
        </is>
      </c>
      <c r="J106" s="7" t="inlineStr">
        <is>
          <t xml:space="preserve">Sin asignar fisicamente</t>
        </is>
      </c>
    </row>
    <row r="107">
      <c r="A107" s="7" t="inlineStr">
        <is>
          <t xml:space="preserve">PER-106</t>
        </is>
      </c>
      <c r="B107" s="10" t="inlineStr">
        <is>
          <t xml:space="preserve">POR REGISTRAR</t>
        </is>
      </c>
      <c r="C107" s="7" t="inlineStr">
        <is>
          <t xml:space="preserve">GABRIELA QUINONES YPORRE</t>
        </is>
      </c>
      <c r="D107" s="10" t="inlineStr">
        <is>
          <t xml:space="preserve">AFILIADOR</t>
        </is>
      </c>
      <c r="E107" s="7" t="inlineStr">
        <is>
          <t xml:space="preserve">DELIA JORDAN FACUSSE</t>
        </is>
      </c>
      <c r="F107" s="7" t="inlineStr">
        <is>
          <t xml:space="preserve">SANTA CRUZ</t>
        </is>
      </c>
      <c r="G107" s="10" t="inlineStr">
        <is>
          <t xml:space="preserve">ACTIVO</t>
        </is>
      </c>
      <c r="H107" s="10" t="inlineStr">
        <is>
          <t xml:space="preserve">BEX-2005</t>
        </is>
      </c>
      <c r="I107" s="10" t="inlineStr">
        <is>
          <t xml:space="preserve"/>
        </is>
      </c>
      <c r="J107" s="7" t="inlineStr">
        <is>
          <t xml:space="preserve">Sin asignar fisicamente</t>
        </is>
      </c>
    </row>
    <row r="108">
      <c r="A108" s="7" t="inlineStr">
        <is>
          <t xml:space="preserve">PER-107</t>
        </is>
      </c>
      <c r="B108" s="10" t="inlineStr">
        <is>
          <t xml:space="preserve">POR REGISTRAR</t>
        </is>
      </c>
      <c r="C108" s="7" t="inlineStr">
        <is>
          <t xml:space="preserve">RODRIGO VACA JUSTINIANO</t>
        </is>
      </c>
      <c r="D108" s="10" t="inlineStr">
        <is>
          <t xml:space="preserve">AFILIADOR</t>
        </is>
      </c>
      <c r="E108" s="7" t="inlineStr">
        <is>
          <t xml:space="preserve">DELIA JORDAN FACUSSE</t>
        </is>
      </c>
      <c r="F108" s="7" t="inlineStr">
        <is>
          <t xml:space="preserve">SANTA CRUZ</t>
        </is>
      </c>
      <c r="G108" s="10" t="inlineStr">
        <is>
          <t xml:space="preserve">ACTIVO</t>
        </is>
      </c>
      <c r="H108" s="10" t="inlineStr">
        <is>
          <t xml:space="preserve">BEX-2004</t>
        </is>
      </c>
      <c r="I108" s="10" t="inlineStr">
        <is>
          <t xml:space="preserve"/>
        </is>
      </c>
      <c r="J108" s="7" t="inlineStr">
        <is>
          <t xml:space="preserve">Sin asignar fisicamente</t>
        </is>
      </c>
    </row>
    <row r="109">
      <c r="A109" s="7" t="inlineStr">
        <is>
          <t xml:space="preserve">PER-108</t>
        </is>
      </c>
      <c r="B109" s="10" t="inlineStr">
        <is>
          <t xml:space="preserve">POR REGISTRAR</t>
        </is>
      </c>
      <c r="C109" s="7" t="inlineStr">
        <is>
          <t xml:space="preserve">TOMAS JERSON MERCADO YPORRE</t>
        </is>
      </c>
      <c r="D109" s="10" t="inlineStr">
        <is>
          <t xml:space="preserve">AFILIADOR</t>
        </is>
      </c>
      <c r="E109" s="7" t="inlineStr">
        <is>
          <t xml:space="preserve">DELIA JORDAN FACUSSE</t>
        </is>
      </c>
      <c r="F109" s="7" t="inlineStr">
        <is>
          <t xml:space="preserve">SANTA CRUZ</t>
        </is>
      </c>
      <c r="G109" s="10" t="inlineStr">
        <is>
          <t xml:space="preserve">ACTIVO</t>
        </is>
      </c>
      <c r="H109" s="10" t="inlineStr">
        <is>
          <t xml:space="preserve">BEX-2003</t>
        </is>
      </c>
      <c r="I109" s="10" t="inlineStr">
        <is>
          <t xml:space="preserve"/>
        </is>
      </c>
      <c r="J109" s="7" t="inlineStr">
        <is>
          <t xml:space="preserve"/>
        </is>
      </c>
    </row>
    <row r="110">
      <c r="A110" s="7" t="inlineStr">
        <is>
          <t xml:space="preserve">PER-109</t>
        </is>
      </c>
      <c r="B110" s="10" t="inlineStr">
        <is>
          <t xml:space="preserve">POR REGISTRAR</t>
        </is>
      </c>
      <c r="C110" s="7" t="inlineStr">
        <is>
          <t xml:space="preserve">JOSE GUTIERREZ PEDRAZA</t>
        </is>
      </c>
      <c r="D110" s="10" t="inlineStr">
        <is>
          <t xml:space="preserve">SUPERVISOR</t>
        </is>
      </c>
      <c r="E110" s="7" t="inlineStr">
        <is>
          <t xml:space="preserve">JOSE GUTIERREZ PEDRAZA</t>
        </is>
      </c>
      <c r="F110" s="7" t="inlineStr">
        <is>
          <t xml:space="preserve">SANTA CRUZ</t>
        </is>
      </c>
      <c r="G110" s="10" t="inlineStr">
        <is>
          <t xml:space="preserve">ACTIVO</t>
        </is>
      </c>
      <c r="H110" s="10" t="inlineStr">
        <is>
          <t xml:space="preserve">BEX-2007</t>
        </is>
      </c>
      <c r="I110" s="10" t="inlineStr">
        <is>
          <t xml:space="preserve"/>
        </is>
      </c>
      <c r="J110" s="7" t="inlineStr">
        <is>
          <t xml:space="preserve"/>
        </is>
      </c>
    </row>
    <row r="111">
      <c r="A111" s="7" t="inlineStr">
        <is>
          <t xml:space="preserve">PER-110</t>
        </is>
      </c>
      <c r="B111" s="10" t="inlineStr">
        <is>
          <t xml:space="preserve">POR REGISTRAR</t>
        </is>
      </c>
      <c r="C111" s="7" t="inlineStr">
        <is>
          <t xml:space="preserve">DANIEL GUTIERREZ PEDRAZA</t>
        </is>
      </c>
      <c r="D111" s="10" t="inlineStr">
        <is>
          <t xml:space="preserve">AFILIADOR</t>
        </is>
      </c>
      <c r="E111" s="7" t="inlineStr">
        <is>
          <t xml:space="preserve">JOSE GUTIERREZ PEDRAZA</t>
        </is>
      </c>
      <c r="F111" s="7" t="inlineStr">
        <is>
          <t xml:space="preserve">SANTA CRUZ</t>
        </is>
      </c>
      <c r="G111" s="10" t="inlineStr">
        <is>
          <t xml:space="preserve">ACTIVO</t>
        </is>
      </c>
      <c r="H111" s="10" t="inlineStr">
        <is>
          <t xml:space="preserve">BEX-0513</t>
        </is>
      </c>
      <c r="I111" s="10" t="inlineStr">
        <is>
          <t xml:space="preserve"/>
        </is>
      </c>
      <c r="J111" s="7" t="inlineStr">
        <is>
          <t xml:space="preserve"/>
        </is>
      </c>
    </row>
    <row r="112">
      <c r="A112" s="7" t="inlineStr">
        <is>
          <t xml:space="preserve">PER-111</t>
        </is>
      </c>
      <c r="B112" s="10" t="inlineStr">
        <is>
          <t xml:space="preserve">POR REGISTRAR</t>
        </is>
      </c>
      <c r="C112" s="7" t="inlineStr">
        <is>
          <t xml:space="preserve">DANIELA ASCARRAGA DOMINGUEZ</t>
        </is>
      </c>
      <c r="D112" s="10" t="inlineStr">
        <is>
          <t xml:space="preserve">AFILIADOR</t>
        </is>
      </c>
      <c r="E112" s="7" t="inlineStr">
        <is>
          <t xml:space="preserve">JOSE GUTIERREZ PEDRAZA</t>
        </is>
      </c>
      <c r="F112" s="7" t="inlineStr">
        <is>
          <t xml:space="preserve">SANTA CRUZ</t>
        </is>
      </c>
      <c r="G112" s="10" t="inlineStr">
        <is>
          <t xml:space="preserve">ACTIVO</t>
        </is>
      </c>
      <c r="H112" s="10" t="inlineStr">
        <is>
          <t xml:space="preserve">BEX-0519</t>
        </is>
      </c>
      <c r="I112" s="10" t="inlineStr">
        <is>
          <t xml:space="preserve"/>
        </is>
      </c>
      <c r="J112" s="7" t="inlineStr">
        <is>
          <t xml:space="preserve"/>
        </is>
      </c>
    </row>
    <row r="113">
      <c r="A113" s="7" t="inlineStr">
        <is>
          <t xml:space="preserve">PER-112</t>
        </is>
      </c>
      <c r="B113" s="10" t="inlineStr">
        <is>
          <t xml:space="preserve">POR REGISTRAR</t>
        </is>
      </c>
      <c r="C113" s="7" t="inlineStr">
        <is>
          <t xml:space="preserve">DIEGO GUTIERREZ PEDRAZA</t>
        </is>
      </c>
      <c r="D113" s="10" t="inlineStr">
        <is>
          <t xml:space="preserve">AFILIADOR</t>
        </is>
      </c>
      <c r="E113" s="7" t="inlineStr">
        <is>
          <t xml:space="preserve">JOSE GUTIERREZ PEDRAZA</t>
        </is>
      </c>
      <c r="F113" s="7" t="inlineStr">
        <is>
          <t xml:space="preserve">SANTA CRUZ</t>
        </is>
      </c>
      <c r="G113" s="10" t="inlineStr">
        <is>
          <t xml:space="preserve">ACTIVO</t>
        </is>
      </c>
      <c r="H113" s="10" t="inlineStr">
        <is>
          <t xml:space="preserve">BEX-2006</t>
        </is>
      </c>
      <c r="I113" s="10" t="inlineStr">
        <is>
          <t xml:space="preserve"/>
        </is>
      </c>
      <c r="J113" s="7" t="inlineStr">
        <is>
          <t xml:space="preserve">Sin asignar fisicamente</t>
        </is>
      </c>
    </row>
    <row r="114">
      <c r="A114" s="7" t="inlineStr">
        <is>
          <t xml:space="preserve">PER-113</t>
        </is>
      </c>
      <c r="B114" s="10" t="inlineStr">
        <is>
          <t xml:space="preserve">POR REGISTRAR</t>
        </is>
      </c>
      <c r="C114" s="7" t="inlineStr">
        <is>
          <t xml:space="preserve">KAREN LOPEZ CASTEDO</t>
        </is>
      </c>
      <c r="D114" s="10" t="inlineStr">
        <is>
          <t xml:space="preserve">AFILIADOR</t>
        </is>
      </c>
      <c r="E114" s="7" t="inlineStr">
        <is>
          <t xml:space="preserve">JOSE GUTIERREZ PEDRAZA</t>
        </is>
      </c>
      <c r="F114" s="7" t="inlineStr">
        <is>
          <t xml:space="preserve">SANTA CRUZ</t>
        </is>
      </c>
      <c r="G114" s="10" t="inlineStr">
        <is>
          <t xml:space="preserve">ACTIVO</t>
        </is>
      </c>
      <c r="H114" s="10" t="inlineStr">
        <is>
          <t xml:space="preserve">BEX-0520</t>
        </is>
      </c>
      <c r="I114" s="10" t="inlineStr">
        <is>
          <t xml:space="preserve"/>
        </is>
      </c>
      <c r="J114" s="7" t="inlineStr">
        <is>
          <t xml:space="preserve"/>
        </is>
      </c>
    </row>
    <row r="115">
      <c r="A115" s="7" t="inlineStr">
        <is>
          <t xml:space="preserve">PER-114</t>
        </is>
      </c>
      <c r="B115" s="10" t="inlineStr">
        <is>
          <t xml:space="preserve">POR REGISTRAR</t>
        </is>
      </c>
      <c r="C115" s="7" t="inlineStr">
        <is>
          <t xml:space="preserve">VICTOR HUGO LINO BALDIVIESO</t>
        </is>
      </c>
      <c r="D115" s="10" t="inlineStr">
        <is>
          <t xml:space="preserve">AFILIADOR</t>
        </is>
      </c>
      <c r="E115" s="7" t="inlineStr">
        <is>
          <t xml:space="preserve">JOSE GUTIERREZ PEDRAZA</t>
        </is>
      </c>
      <c r="F115" s="7" t="inlineStr">
        <is>
          <t xml:space="preserve">SANTA CRUZ</t>
        </is>
      </c>
      <c r="G115" s="10" t="inlineStr">
        <is>
          <t xml:space="preserve">ACTIVO</t>
        </is>
      </c>
      <c r="H115" s="10" t="inlineStr">
        <is>
          <t xml:space="preserve">BEX-2008</t>
        </is>
      </c>
      <c r="I115" s="10" t="inlineStr">
        <is>
          <t xml:space="preserve"/>
        </is>
      </c>
      <c r="J115" s="7" t="inlineStr">
        <is>
          <t xml:space="preserve">Sin asignar fisicamente</t>
        </is>
      </c>
    </row>
    <row r="116">
      <c r="A116" s="7" t="inlineStr">
        <is>
          <t xml:space="preserve">PER-115</t>
        </is>
      </c>
      <c r="B116" s="10" t="inlineStr">
        <is>
          <t xml:space="preserve">POR REGISTRAR</t>
        </is>
      </c>
      <c r="C116" s="7" t="inlineStr">
        <is>
          <t xml:space="preserve">SELMA (NOMBRE INCOMPLETO)</t>
        </is>
      </c>
      <c r="D116" s="10" t="inlineStr">
        <is>
          <t xml:space="preserve">AFILIADOR</t>
        </is>
      </c>
      <c r="E116" s="7" t="inlineStr">
        <is>
          <t xml:space="preserve">JOSE GUTIERREZ PEDRAZA</t>
        </is>
      </c>
      <c r="F116" s="7" t="inlineStr">
        <is>
          <t xml:space="preserve">SANTA CRUZ</t>
        </is>
      </c>
      <c r="G116" s="10" t="inlineStr">
        <is>
          <t xml:space="preserve">ACTIVO</t>
        </is>
      </c>
      <c r="H116" s="10" t="inlineStr">
        <is>
          <t xml:space="preserve">BEX-2009</t>
        </is>
      </c>
      <c r="I116" s="10" t="inlineStr">
        <is>
          <t xml:space="preserve"/>
        </is>
      </c>
      <c r="J116" s="7" t="inlineStr">
        <is>
          <t xml:space="preserve">Completar nombre completo</t>
        </is>
      </c>
    </row>
    <row r="117">
      <c r="A117" s="7" t="inlineStr">
        <is>
          <t xml:space="preserve">PER-116</t>
        </is>
      </c>
      <c r="B117" s="10" t="inlineStr">
        <is>
          <t xml:space="preserve">POR REGISTRAR</t>
        </is>
      </c>
      <c r="C117" s="7" t="inlineStr">
        <is>
          <t xml:space="preserve">JENNY CRISTINA ECHALAR MONTALVO</t>
        </is>
      </c>
      <c r="D117" s="10" t="inlineStr">
        <is>
          <t xml:space="preserve">SUPERVISOR</t>
        </is>
      </c>
      <c r="E117" s="7" t="inlineStr">
        <is>
          <t xml:space="preserve">JENNY CRISTINA ECHALAR MONTALVO</t>
        </is>
      </c>
      <c r="F117" s="7" t="inlineStr">
        <is>
          <t xml:space="preserve">SUCRE</t>
        </is>
      </c>
      <c r="G117" s="10" t="inlineStr">
        <is>
          <t xml:space="preserve">ACTIVO</t>
        </is>
      </c>
      <c r="H117" s="10" t="inlineStr">
        <is>
          <t xml:space="preserve">BEX-0198</t>
        </is>
      </c>
      <c r="I117" s="10" t="inlineStr">
        <is>
          <t xml:space="preserve"/>
        </is>
      </c>
      <c r="J117" s="7" t="inlineStr">
        <is>
          <t xml:space="preserve"/>
        </is>
      </c>
    </row>
    <row r="118">
      <c r="A118" s="7" t="inlineStr">
        <is>
          <t xml:space="preserve">PER-117</t>
        </is>
      </c>
      <c r="B118" s="10" t="inlineStr">
        <is>
          <t xml:space="preserve">POR REGISTRAR</t>
        </is>
      </c>
      <c r="C118" s="7" t="inlineStr">
        <is>
          <t xml:space="preserve">GABRIELA GARCIA AREVALO</t>
        </is>
      </c>
      <c r="D118" s="10" t="inlineStr">
        <is>
          <t xml:space="preserve">AFILIADOR</t>
        </is>
      </c>
      <c r="E118" s="7" t="inlineStr">
        <is>
          <t xml:space="preserve">JENNY CRISTINA ECHALAR MONTALVO</t>
        </is>
      </c>
      <c r="F118" s="7" t="inlineStr">
        <is>
          <t xml:space="preserve">SUCRE</t>
        </is>
      </c>
      <c r="G118" s="10" t="inlineStr">
        <is>
          <t xml:space="preserve">ACTIVO</t>
        </is>
      </c>
      <c r="H118" s="10" t="inlineStr">
        <is>
          <t xml:space="preserve">BEX-0148</t>
        </is>
      </c>
      <c r="I118" s="10" t="inlineStr">
        <is>
          <t xml:space="preserve"/>
        </is>
      </c>
      <c r="J118" s="7" t="inlineStr">
        <is>
          <t xml:space="preserve"/>
        </is>
      </c>
    </row>
    <row r="119">
      <c r="A119" s="7" t="inlineStr">
        <is>
          <t xml:space="preserve">PER-118</t>
        </is>
      </c>
      <c r="B119" s="10" t="inlineStr">
        <is>
          <t xml:space="preserve">POR REGISTRAR</t>
        </is>
      </c>
      <c r="C119" s="7" t="inlineStr">
        <is>
          <t xml:space="preserve">JHENIFER LUCERO SERRUDO LLAMPA</t>
        </is>
      </c>
      <c r="D119" s="10" t="inlineStr">
        <is>
          <t xml:space="preserve">AFILIADOR</t>
        </is>
      </c>
      <c r="E119" s="7" t="inlineStr">
        <is>
          <t xml:space="preserve">JENNY CRISTINA ECHALAR MONTALVO</t>
        </is>
      </c>
      <c r="F119" s="7" t="inlineStr">
        <is>
          <t xml:space="preserve">SUCRE</t>
        </is>
      </c>
      <c r="G119" s="10" t="inlineStr">
        <is>
          <t xml:space="preserve">ACTIVO</t>
        </is>
      </c>
      <c r="H119" s="10" t="inlineStr">
        <is>
          <t xml:space="preserve">BEX-0027</t>
        </is>
      </c>
      <c r="I119" s="10" t="inlineStr">
        <is>
          <t xml:space="preserve"/>
        </is>
      </c>
      <c r="J119" s="7" t="inlineStr">
        <is>
          <t xml:space="preserve"/>
        </is>
      </c>
    </row>
    <row r="120">
      <c r="A120" s="7" t="inlineStr">
        <is>
          <t xml:space="preserve">PER-119</t>
        </is>
      </c>
      <c r="B120" s="10" t="inlineStr">
        <is>
          <t xml:space="preserve">POR REGISTRAR</t>
        </is>
      </c>
      <c r="C120" s="7" t="inlineStr">
        <is>
          <t xml:space="preserve">LUIS ANGEL SIHUAIROS CANO</t>
        </is>
      </c>
      <c r="D120" s="10" t="inlineStr">
        <is>
          <t xml:space="preserve">AFILIADOR</t>
        </is>
      </c>
      <c r="E120" s="7" t="inlineStr">
        <is>
          <t xml:space="preserve">JENNY CRISTINA ECHALAR MONTALVO</t>
        </is>
      </c>
      <c r="F120" s="7" t="inlineStr">
        <is>
          <t xml:space="preserve">SUCRE</t>
        </is>
      </c>
      <c r="G120" s="10" t="inlineStr">
        <is>
          <t xml:space="preserve">ACTIVO</t>
        </is>
      </c>
      <c r="H120" s="10" t="inlineStr">
        <is>
          <t xml:space="preserve">BEX-0145</t>
        </is>
      </c>
      <c r="I120" s="10" t="inlineStr">
        <is>
          <t xml:space="preserve"/>
        </is>
      </c>
      <c r="J120" s="7" t="inlineStr">
        <is>
          <t xml:space="preserve"/>
        </is>
      </c>
    </row>
    <row r="121">
      <c r="A121" s="7" t="inlineStr">
        <is>
          <t xml:space="preserve">PER-120</t>
        </is>
      </c>
      <c r="B121" s="10" t="inlineStr">
        <is>
          <t xml:space="preserve">POR REGISTRAR</t>
        </is>
      </c>
      <c r="C121" s="7" t="inlineStr">
        <is>
          <t xml:space="preserve">RENE NUNEZ SOLIS</t>
        </is>
      </c>
      <c r="D121" s="10" t="inlineStr">
        <is>
          <t xml:space="preserve">AFILIADOR</t>
        </is>
      </c>
      <c r="E121" s="7" t="inlineStr">
        <is>
          <t xml:space="preserve">JENNY CRISTINA ECHALAR MONTALVO</t>
        </is>
      </c>
      <c r="F121" s="7" t="inlineStr">
        <is>
          <t xml:space="preserve">SUCRE</t>
        </is>
      </c>
      <c r="G121" s="10" t="inlineStr">
        <is>
          <t xml:space="preserve">ACTIVO</t>
        </is>
      </c>
      <c r="H121" s="10" t="inlineStr">
        <is>
          <t xml:space="preserve">BEX-0150</t>
        </is>
      </c>
      <c r="I121" s="10" t="inlineStr">
        <is>
          <t xml:space="preserve"/>
        </is>
      </c>
      <c r="J121" s="7" t="inlineStr">
        <is>
          <t xml:space="preserve"/>
        </is>
      </c>
    </row>
    <row r="122">
      <c r="A122" s="7" t="inlineStr">
        <is>
          <t xml:space="preserve">PER-121</t>
        </is>
      </c>
      <c r="B122" s="10" t="inlineStr">
        <is>
          <t xml:space="preserve">POR REGISTRAR</t>
        </is>
      </c>
      <c r="C122" s="7" t="inlineStr">
        <is>
          <t xml:space="preserve">VERONICA NUNEZ PICHA</t>
        </is>
      </c>
      <c r="D122" s="10" t="inlineStr">
        <is>
          <t xml:space="preserve">AFILIADOR</t>
        </is>
      </c>
      <c r="E122" s="7" t="inlineStr">
        <is>
          <t xml:space="preserve">JENNY CRISTINA ECHALAR MONTALVO</t>
        </is>
      </c>
      <c r="F122" s="7" t="inlineStr">
        <is>
          <t xml:space="preserve">SUCRE</t>
        </is>
      </c>
      <c r="G122" s="10" t="inlineStr">
        <is>
          <t xml:space="preserve">ACTIVO</t>
        </is>
      </c>
      <c r="H122" s="10" t="inlineStr">
        <is>
          <t xml:space="preserve">BEX-0527</t>
        </is>
      </c>
      <c r="I122" s="10" t="inlineStr">
        <is>
          <t xml:space="preserve"/>
        </is>
      </c>
      <c r="J122" s="7" t="inlineStr">
        <is>
          <t xml:space="preserve"/>
        </is>
      </c>
    </row>
    <row r="123">
      <c r="A123" s="7" t="inlineStr">
        <is>
          <t xml:space="preserve">PER-122</t>
        </is>
      </c>
      <c r="B123" s="10" t="inlineStr">
        <is>
          <t xml:space="preserve">POR REGISTRAR</t>
        </is>
      </c>
      <c r="C123" s="7" t="inlineStr">
        <is>
          <t xml:space="preserve">MARIA FERNANDA DAZA PALMA</t>
        </is>
      </c>
      <c r="D123" s="10" t="inlineStr">
        <is>
          <t xml:space="preserve">SUPERVISOR</t>
        </is>
      </c>
      <c r="E123" s="7" t="inlineStr">
        <is>
          <t xml:space="preserve">MARIA FERNANDA DAZA PALMA</t>
        </is>
      </c>
      <c r="F123" s="7" t="inlineStr">
        <is>
          <t xml:space="preserve">TARIJA</t>
        </is>
      </c>
      <c r="G123" s="10" t="inlineStr">
        <is>
          <t xml:space="preserve">ACTIVO</t>
        </is>
      </c>
      <c r="H123" s="10" t="inlineStr">
        <is>
          <t xml:space="preserve">BEX-2016</t>
        </is>
      </c>
      <c r="I123" s="10" t="inlineStr">
        <is>
          <t xml:space="preserve"/>
        </is>
      </c>
      <c r="J123" s="7" t="inlineStr">
        <is>
          <t xml:space="preserve">Credenciales enviados por asignar</t>
        </is>
      </c>
    </row>
    <row r="124">
      <c r="A124" s="7" t="inlineStr">
        <is>
          <t xml:space="preserve">PER-123</t>
        </is>
      </c>
      <c r="B124" s="10" t="inlineStr">
        <is>
          <t xml:space="preserve">POR REGISTRAR</t>
        </is>
      </c>
      <c r="C124" s="7" t="inlineStr">
        <is>
          <t xml:space="preserve">ANA PAOLA REQUE PALMA</t>
        </is>
      </c>
      <c r="D124" s="10" t="inlineStr">
        <is>
          <t xml:space="preserve">AFILIADOR</t>
        </is>
      </c>
      <c r="E124" s="7" t="inlineStr">
        <is>
          <t xml:space="preserve">MARIA FERNANDA DAZA PALMA</t>
        </is>
      </c>
      <c r="F124" s="7" t="inlineStr">
        <is>
          <t xml:space="preserve">TARIJA</t>
        </is>
      </c>
      <c r="G124" s="10" t="inlineStr">
        <is>
          <t xml:space="preserve">ACTIVO</t>
        </is>
      </c>
      <c r="H124" s="10" t="inlineStr">
        <is>
          <t xml:space="preserve">BEX-2010</t>
        </is>
      </c>
      <c r="I124" s="10" t="inlineStr">
        <is>
          <t xml:space="preserve"/>
        </is>
      </c>
      <c r="J124" s="7" t="inlineStr">
        <is>
          <t xml:space="preserve">Por asignar</t>
        </is>
      </c>
    </row>
    <row r="125">
      <c r="A125" s="7" t="inlineStr">
        <is>
          <t xml:space="preserve">PER-124</t>
        </is>
      </c>
      <c r="B125" s="10" t="inlineStr">
        <is>
          <t xml:space="preserve">POR REGISTRAR</t>
        </is>
      </c>
      <c r="C125" s="7" t="inlineStr">
        <is>
          <t xml:space="preserve">ANA PATRICIA ALFARO MENDEZ</t>
        </is>
      </c>
      <c r="D125" s="10" t="inlineStr">
        <is>
          <t xml:space="preserve">AFILIADOR</t>
        </is>
      </c>
      <c r="E125" s="7" t="inlineStr">
        <is>
          <t xml:space="preserve">MARIA FERNANDA DAZA PALMA</t>
        </is>
      </c>
      <c r="F125" s="7" t="inlineStr">
        <is>
          <t xml:space="preserve">TARIJA</t>
        </is>
      </c>
      <c r="G125" s="10" t="inlineStr">
        <is>
          <t xml:space="preserve">ACTIVO</t>
        </is>
      </c>
      <c r="H125" s="10" t="inlineStr">
        <is>
          <t xml:space="preserve">BEX-2011</t>
        </is>
      </c>
      <c r="I125" s="10" t="inlineStr">
        <is>
          <t xml:space="preserve"/>
        </is>
      </c>
      <c r="J125" s="7" t="inlineStr">
        <is>
          <t xml:space="preserve">Por asignar</t>
        </is>
      </c>
    </row>
    <row r="126">
      <c r="A126" s="7" t="inlineStr">
        <is>
          <t xml:space="preserve">PER-125</t>
        </is>
      </c>
      <c r="B126" s="10" t="inlineStr">
        <is>
          <t xml:space="preserve">POR REGISTRAR</t>
        </is>
      </c>
      <c r="C126" s="7" t="inlineStr">
        <is>
          <t xml:space="preserve">CRISTHIAN EDUARDO CHAVEZ ROMERO</t>
        </is>
      </c>
      <c r="D126" s="10" t="inlineStr">
        <is>
          <t xml:space="preserve">AFILIADOR</t>
        </is>
      </c>
      <c r="E126" s="7" t="inlineStr">
        <is>
          <t xml:space="preserve">MARIA FERNANDA DAZA PALMA</t>
        </is>
      </c>
      <c r="F126" s="7" t="inlineStr">
        <is>
          <t xml:space="preserve">TARIJA</t>
        </is>
      </c>
      <c r="G126" s="10" t="inlineStr">
        <is>
          <t xml:space="preserve">ACTIVO</t>
        </is>
      </c>
      <c r="H126" s="10" t="inlineStr">
        <is>
          <t xml:space="preserve">BEX-2012</t>
        </is>
      </c>
      <c r="I126" s="10" t="inlineStr">
        <is>
          <t xml:space="preserve"/>
        </is>
      </c>
      <c r="J126" s="7" t="inlineStr">
        <is>
          <t xml:space="preserve">Por asignar</t>
        </is>
      </c>
    </row>
    <row r="127">
      <c r="A127" s="7" t="inlineStr">
        <is>
          <t xml:space="preserve">PER-126</t>
        </is>
      </c>
      <c r="B127" s="10" t="inlineStr">
        <is>
          <t xml:space="preserve">POR REGISTRAR</t>
        </is>
      </c>
      <c r="C127" s="7" t="inlineStr">
        <is>
          <t xml:space="preserve">DANIEL ALBERTO TELLEZ TELLEZ</t>
        </is>
      </c>
      <c r="D127" s="10" t="inlineStr">
        <is>
          <t xml:space="preserve">AFILIADOR</t>
        </is>
      </c>
      <c r="E127" s="7" t="inlineStr">
        <is>
          <t xml:space="preserve">MARIA FERNANDA DAZA PALMA</t>
        </is>
      </c>
      <c r="F127" s="7" t="inlineStr">
        <is>
          <t xml:space="preserve">TARIJA</t>
        </is>
      </c>
      <c r="G127" s="10" t="inlineStr">
        <is>
          <t xml:space="preserve">INACTIVO</t>
        </is>
      </c>
      <c r="H127" s="10" t="inlineStr">
        <is>
          <t xml:space="preserve"/>
        </is>
      </c>
      <c r="I127" s="10" t="inlineStr">
        <is>
          <t xml:space="preserve"/>
        </is>
      </c>
      <c r="J127" s="7" t="inlineStr">
        <is>
          <t xml:space="preserve"/>
        </is>
      </c>
    </row>
    <row r="128">
      <c r="A128" s="7" t="inlineStr">
        <is>
          <t xml:space="preserve">PER-127</t>
        </is>
      </c>
      <c r="B128" s="10" t="inlineStr">
        <is>
          <t xml:space="preserve">POR REGISTRAR</t>
        </is>
      </c>
      <c r="C128" s="7" t="inlineStr">
        <is>
          <t xml:space="preserve">MERCEDES CRUZ RUEDA</t>
        </is>
      </c>
      <c r="D128" s="10" t="inlineStr">
        <is>
          <t xml:space="preserve">AFILIADOR</t>
        </is>
      </c>
      <c r="E128" s="7" t="inlineStr">
        <is>
          <t xml:space="preserve">MARIA FERNANDA DAZA PALMA</t>
        </is>
      </c>
      <c r="F128" s="7" t="inlineStr">
        <is>
          <t xml:space="preserve">TARIJA</t>
        </is>
      </c>
      <c r="G128" s="10" t="inlineStr">
        <is>
          <t xml:space="preserve">ACTIVO</t>
        </is>
      </c>
      <c r="H128" s="10" t="inlineStr">
        <is>
          <t xml:space="preserve">BEX-2013</t>
        </is>
      </c>
      <c r="I128" s="10" t="inlineStr">
        <is>
          <t xml:space="preserve"/>
        </is>
      </c>
      <c r="J128" s="7" t="inlineStr">
        <is>
          <t xml:space="preserve">Por asignar</t>
        </is>
      </c>
    </row>
    <row r="129">
      <c r="A129" s="7" t="inlineStr">
        <is>
          <t xml:space="preserve">PER-128</t>
        </is>
      </c>
      <c r="B129" s="10" t="inlineStr">
        <is>
          <t xml:space="preserve">POR REGISTRAR</t>
        </is>
      </c>
      <c r="C129" s="7" t="inlineStr">
        <is>
          <t xml:space="preserve">PAULA VALDEZ FLORES</t>
        </is>
      </c>
      <c r="D129" s="10" t="inlineStr">
        <is>
          <t xml:space="preserve">AFILIADOR</t>
        </is>
      </c>
      <c r="E129" s="7" t="inlineStr">
        <is>
          <t xml:space="preserve">MARIA FERNANDA DAZA PALMA</t>
        </is>
      </c>
      <c r="F129" s="7" t="inlineStr">
        <is>
          <t xml:space="preserve">TARIJA</t>
        </is>
      </c>
      <c r="G129" s="10" t="inlineStr">
        <is>
          <t xml:space="preserve">ACTIVO</t>
        </is>
      </c>
      <c r="H129" s="10" t="inlineStr">
        <is>
          <t xml:space="preserve">BEX-2014</t>
        </is>
      </c>
      <c r="I129" s="10" t="inlineStr">
        <is>
          <t xml:space="preserve"/>
        </is>
      </c>
      <c r="J129" s="7" t="inlineStr">
        <is>
          <t xml:space="preserve">Por asignar</t>
        </is>
      </c>
    </row>
    <row r="130">
      <c r="A130" s="7" t="inlineStr">
        <is>
          <t xml:space="preserve">PER-129</t>
        </is>
      </c>
      <c r="B130" s="10" t="inlineStr">
        <is>
          <t xml:space="preserve">POR REGISTRAR</t>
        </is>
      </c>
      <c r="C130" s="7" t="inlineStr">
        <is>
          <t xml:space="preserve">REYNA YEVARA ZURITA</t>
        </is>
      </c>
      <c r="D130" s="10" t="inlineStr">
        <is>
          <t xml:space="preserve">AFILIADOR</t>
        </is>
      </c>
      <c r="E130" s="7" t="inlineStr">
        <is>
          <t xml:space="preserve">MARIA FERNANDA DAZA PALMA</t>
        </is>
      </c>
      <c r="F130" s="7" t="inlineStr">
        <is>
          <t xml:space="preserve">TARIJA</t>
        </is>
      </c>
      <c r="G130" s="10" t="inlineStr">
        <is>
          <t xml:space="preserve">INACTIVO</t>
        </is>
      </c>
      <c r="H130" s="10" t="inlineStr">
        <is>
          <t xml:space="preserve"/>
        </is>
      </c>
      <c r="I130" s="10" t="inlineStr">
        <is>
          <t xml:space="preserve"/>
        </is>
      </c>
      <c r="J130" s="7" t="inlineStr">
        <is>
          <t xml:space="preserve"/>
        </is>
      </c>
    </row>
    <row r="131">
      <c r="A131" s="7" t="inlineStr">
        <is>
          <t xml:space="preserve">PER-130</t>
        </is>
      </c>
      <c r="B131" s="10" t="inlineStr">
        <is>
          <t xml:space="preserve">POR REGISTRAR</t>
        </is>
      </c>
      <c r="C131" s="7" t="inlineStr">
        <is>
          <t xml:space="preserve">VERONICA JUDITH GUTIERREZ RAMOS</t>
        </is>
      </c>
      <c r="D131" s="10" t="inlineStr">
        <is>
          <t xml:space="preserve">AFILIADOR</t>
        </is>
      </c>
      <c r="E131" s="7" t="inlineStr">
        <is>
          <t xml:space="preserve">MARIA FERNANDA DAZA PALMA</t>
        </is>
      </c>
      <c r="F131" s="7" t="inlineStr">
        <is>
          <t xml:space="preserve">TARIJA</t>
        </is>
      </c>
      <c r="G131" s="10" t="inlineStr">
        <is>
          <t xml:space="preserve">INACTIVO</t>
        </is>
      </c>
      <c r="H131" s="10" t="inlineStr">
        <is>
          <t xml:space="preserve"/>
        </is>
      </c>
      <c r="I131" s="10" t="inlineStr">
        <is>
          <t xml:space="preserve"/>
        </is>
      </c>
      <c r="J131" s="7" t="inlineStr">
        <is>
          <t xml:space="preserve"/>
        </is>
      </c>
    </row>
    <row r="132">
      <c r="A132" s="7" t="inlineStr">
        <is>
          <t xml:space="preserve">PER-131</t>
        </is>
      </c>
      <c r="B132" s="10" t="inlineStr">
        <is>
          <t xml:space="preserve">POR REGISTRAR</t>
        </is>
      </c>
      <c r="C132" s="7" t="inlineStr">
        <is>
          <t xml:space="preserve">YENY GRACIELA FERNANDEZ SANCHEZ</t>
        </is>
      </c>
      <c r="D132" s="10" t="inlineStr">
        <is>
          <t xml:space="preserve">AFILIADOR</t>
        </is>
      </c>
      <c r="E132" s="7" t="inlineStr">
        <is>
          <t xml:space="preserve">MARIA FERNANDA DAZA PALMA</t>
        </is>
      </c>
      <c r="F132" s="7" t="inlineStr">
        <is>
          <t xml:space="preserve">TARIJA</t>
        </is>
      </c>
      <c r="G132" s="10" t="inlineStr">
        <is>
          <t xml:space="preserve">ACTIVO</t>
        </is>
      </c>
      <c r="H132" s="10" t="inlineStr">
        <is>
          <t xml:space="preserve">BEX-2015</t>
        </is>
      </c>
      <c r="I132" s="10" t="inlineStr">
        <is>
          <t xml:space="preserve"/>
        </is>
      </c>
      <c r="J132" s="7" t="inlineStr">
        <is>
          <t xml:space="preserve">Por asignar</t>
        </is>
      </c>
    </row>
  </sheetData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50"/>
  <sheetViews>
    <sheetView workbookViewId="0">
      <pane xSplit="0" ySplit="1" topLeftCell="A2" activePane="bottomRight" state="frozen"/>
      <selection pane="bottomRight"/>
    </sheetView>
  </sheetViews>
  <sheetFormatPr defaultRowHeight="15"/>
  <cols>
    <col min="1" max="1" width="11.00" customWidth="1"/>
    <col min="2" max="2" width="13.00" customWidth="1"/>
    <col min="3" max="3" width="18.00" customWidth="1"/>
    <col min="4" max="4" width="13.00" customWidth="1"/>
    <col min="5" max="5" width="34.00" customWidth="1"/>
    <col min="6" max="6" width="30.00" customWidth="1"/>
    <col min="7" max="7" width="13.00" customWidth="1"/>
    <col min="8" max="8" width="40.00" customWidth="1"/>
    <col min="9" max="9" width="14.00" customWidth="1"/>
  </cols>
  <sheetData>
    <row r="1">
      <c r="A1" s="1" t="inlineStr">
        <is>
          <t xml:space="preserve">N_Mov</t>
        </is>
      </c>
      <c r="B1" s="1" t="inlineStr">
        <is>
          <t xml:space="preserve">Fecha</t>
        </is>
      </c>
      <c r="C1" s="1" t="inlineStr">
        <is>
          <t xml:space="preserve">Tipo_Movimiento</t>
        </is>
      </c>
      <c r="D1" s="1" t="inlineStr">
        <is>
          <t xml:space="preserve">Codigo_BEX</t>
        </is>
      </c>
      <c r="E1" s="1" t="inlineStr">
        <is>
          <t xml:space="preserve">Afiliador</t>
        </is>
      </c>
      <c r="F1" s="1" t="inlineStr">
        <is>
          <t xml:space="preserve">Supervisor</t>
        </is>
      </c>
      <c r="G1" s="1" t="inlineStr">
        <is>
          <t xml:space="preserve">Regional</t>
        </is>
      </c>
      <c r="H1" s="1" t="inlineStr">
        <is>
          <t xml:space="preserve">Observaciones</t>
        </is>
      </c>
      <c r="I1" s="1" t="inlineStr">
        <is>
          <t xml:space="preserve">Registrado_Por</t>
        </is>
      </c>
    </row>
    <row r="2">
      <c r="A2" s="7" t="inlineStr">
        <is>
          <t xml:space="preserve">MOV-0001</t>
        </is>
      </c>
      <c r="B2" s="6">
        <v>46169</v>
      </c>
      <c r="C2" s="10" t="inlineStr">
        <is>
          <t xml:space="preserve">ENTREGA INICIAL</t>
        </is>
      </c>
      <c r="D2" s="10" t="inlineStr">
        <is>
          <t xml:space="preserve">BEX-2000</t>
        </is>
      </c>
      <c r="E2" s="7" t="inlineStr">
        <is>
          <t xml:space="preserve">JORGE SAAVEDRA</t>
        </is>
      </c>
      <c r="F2" s="7" t="inlineStr">
        <is>
          <t xml:space="preserve">JORGE SAAVEDRA</t>
        </is>
      </c>
      <c r="G2" s="7" t="inlineStr">
        <is>
          <t xml:space="preserve">SANTA CRUZ</t>
        </is>
      </c>
      <c r="H2" s="7" t="inlineStr">
        <is>
          <t xml:space="preserve">Lote inaugural entregado a supervisor</t>
        </is>
      </c>
      <c r="I2" s="10" t="inlineStr">
        <is>
          <t xml:space="preserve">SISTEMA</t>
        </is>
      </c>
    </row>
    <row r="3">
      <c r="A3" s="7" t="inlineStr">
        <is>
          <t xml:space="preserve">MOV-0002</t>
        </is>
      </c>
      <c r="B3" s="6">
        <v>46169</v>
      </c>
      <c r="C3" s="10" t="inlineStr">
        <is>
          <t xml:space="preserve">ENTREGA INICIAL</t>
        </is>
      </c>
      <c r="D3" s="10" t="inlineStr">
        <is>
          <t xml:space="preserve">BEX-2001</t>
        </is>
      </c>
      <c r="E3" s="7" t="inlineStr">
        <is>
          <t xml:space="preserve">POR ASIGNAR</t>
        </is>
      </c>
      <c r="F3" s="7" t="inlineStr">
        <is>
          <t xml:space="preserve">DELIA JORDAN FACUSSE</t>
        </is>
      </c>
      <c r="G3" s="7" t="inlineStr">
        <is>
          <t xml:space="preserve">SANTA CRUZ</t>
        </is>
      </c>
      <c r="H3" s="7" t="inlineStr">
        <is>
          <t xml:space="preserve"/>
        </is>
      </c>
      <c r="I3" s="10" t="inlineStr">
        <is>
          <t xml:space="preserve">SISTEMA</t>
        </is>
      </c>
    </row>
    <row r="4">
      <c r="A4" s="7" t="inlineStr">
        <is>
          <t xml:space="preserve">MOV-0003</t>
        </is>
      </c>
      <c r="B4" s="6">
        <v>46169</v>
      </c>
      <c r="C4" s="10" t="inlineStr">
        <is>
          <t xml:space="preserve">ENTREGA INICIAL</t>
        </is>
      </c>
      <c r="D4" s="10" t="inlineStr">
        <is>
          <t xml:space="preserve">BEX-2002</t>
        </is>
      </c>
      <c r="E4" s="7" t="inlineStr">
        <is>
          <t xml:space="preserve">POR ASIGNAR</t>
        </is>
      </c>
      <c r="F4" s="7" t="inlineStr">
        <is>
          <t xml:space="preserve">DELIA JORDAN FACUSSE</t>
        </is>
      </c>
      <c r="G4" s="7" t="inlineStr">
        <is>
          <t xml:space="preserve">SANTA CRUZ</t>
        </is>
      </c>
      <c r="H4" s="7" t="inlineStr">
        <is>
          <t xml:space="preserve"/>
        </is>
      </c>
      <c r="I4" s="10" t="inlineStr">
        <is>
          <t xml:space="preserve">SISTEMA</t>
        </is>
      </c>
    </row>
    <row r="5">
      <c r="A5" s="7" t="inlineStr">
        <is>
          <t xml:space="preserve">MOV-0004</t>
        </is>
      </c>
      <c r="B5" s="6">
        <v>46169</v>
      </c>
      <c r="C5" s="10" t="inlineStr">
        <is>
          <t xml:space="preserve">ENTREGA INICIAL</t>
        </is>
      </c>
      <c r="D5" s="10" t="inlineStr">
        <is>
          <t xml:space="preserve">BEX-2003</t>
        </is>
      </c>
      <c r="E5" s="7" t="inlineStr">
        <is>
          <t xml:space="preserve">POR ASIGNAR</t>
        </is>
      </c>
      <c r="F5" s="7" t="inlineStr">
        <is>
          <t xml:space="preserve">DELIA JORDAN FACUSSE</t>
        </is>
      </c>
      <c r="G5" s="7" t="inlineStr">
        <is>
          <t xml:space="preserve">SANTA CRUZ</t>
        </is>
      </c>
      <c r="H5" s="7" t="inlineStr">
        <is>
          <t xml:space="preserve"/>
        </is>
      </c>
      <c r="I5" s="10" t="inlineStr">
        <is>
          <t xml:space="preserve">SISTEMA</t>
        </is>
      </c>
    </row>
    <row r="6">
      <c r="A6" s="7" t="inlineStr">
        <is>
          <t xml:space="preserve">MOV-0005</t>
        </is>
      </c>
      <c r="B6" s="6">
        <v>46169</v>
      </c>
      <c r="C6" s="10" t="inlineStr">
        <is>
          <t xml:space="preserve">ENTREGA INICIAL</t>
        </is>
      </c>
      <c r="D6" s="10" t="inlineStr">
        <is>
          <t xml:space="preserve">BEX-2004</t>
        </is>
      </c>
      <c r="E6" s="7" t="inlineStr">
        <is>
          <t xml:space="preserve">POR ASIGNAR</t>
        </is>
      </c>
      <c r="F6" s="7" t="inlineStr">
        <is>
          <t xml:space="preserve">DELIA JORDAN FACUSSE</t>
        </is>
      </c>
      <c r="G6" s="7" t="inlineStr">
        <is>
          <t xml:space="preserve">SANTA CRUZ</t>
        </is>
      </c>
      <c r="H6" s="7" t="inlineStr">
        <is>
          <t xml:space="preserve"/>
        </is>
      </c>
      <c r="I6" s="10" t="inlineStr">
        <is>
          <t xml:space="preserve">SISTEMA</t>
        </is>
      </c>
    </row>
    <row r="7">
      <c r="A7" s="7" t="inlineStr">
        <is>
          <t xml:space="preserve">MOV-0006</t>
        </is>
      </c>
      <c r="B7" s="6">
        <v>46169</v>
      </c>
      <c r="C7" s="10" t="inlineStr">
        <is>
          <t xml:space="preserve">ENTREGA INICIAL</t>
        </is>
      </c>
      <c r="D7" s="10" t="inlineStr">
        <is>
          <t xml:space="preserve">BEX-2005</t>
        </is>
      </c>
      <c r="E7" s="7" t="inlineStr">
        <is>
          <t xml:space="preserve">POR ASIGNAR</t>
        </is>
      </c>
      <c r="F7" s="7" t="inlineStr">
        <is>
          <t xml:space="preserve">DELIA JORDAN FACUSSE</t>
        </is>
      </c>
      <c r="G7" s="7" t="inlineStr">
        <is>
          <t xml:space="preserve">SANTA CRUZ</t>
        </is>
      </c>
      <c r="H7" s="7" t="inlineStr">
        <is>
          <t xml:space="preserve"/>
        </is>
      </c>
      <c r="I7" s="10" t="inlineStr">
        <is>
          <t xml:space="preserve">SISTEMA</t>
        </is>
      </c>
    </row>
    <row r="8">
      <c r="A8" s="7" t="inlineStr">
        <is>
          <t xml:space="preserve">MOV-0007</t>
        </is>
      </c>
      <c r="B8" s="6">
        <v>46174</v>
      </c>
      <c r="C8" s="10" t="inlineStr">
        <is>
          <t xml:space="preserve">ENTREGA INICIAL</t>
        </is>
      </c>
      <c r="D8" s="10" t="inlineStr">
        <is>
          <t xml:space="preserve">BEX-2006</t>
        </is>
      </c>
      <c r="E8" s="7" t="inlineStr">
        <is>
          <t xml:space="preserve">POR ASIGNAR</t>
        </is>
      </c>
      <c r="F8" s="7" t="inlineStr">
        <is>
          <t xml:space="preserve">JOSE GUTIERREZ PEDRAZA</t>
        </is>
      </c>
      <c r="G8" s="7" t="inlineStr">
        <is>
          <t xml:space="preserve">SANTA CRUZ</t>
        </is>
      </c>
      <c r="H8" s="7" t="inlineStr">
        <is>
          <t xml:space="preserve"/>
        </is>
      </c>
      <c r="I8" s="10" t="inlineStr">
        <is>
          <t xml:space="preserve">SISTEMA</t>
        </is>
      </c>
    </row>
    <row r="9">
      <c r="A9" s="7" t="inlineStr">
        <is>
          <t xml:space="preserve">MOV-0008</t>
        </is>
      </c>
      <c r="B9" s="6">
        <v>46174</v>
      </c>
      <c r="C9" s="10" t="inlineStr">
        <is>
          <t xml:space="preserve">ENTREGA INICIAL</t>
        </is>
      </c>
      <c r="D9" s="10" t="inlineStr">
        <is>
          <t xml:space="preserve">BEX-2007</t>
        </is>
      </c>
      <c r="E9" s="7" t="inlineStr">
        <is>
          <t xml:space="preserve">POR ASIGNAR</t>
        </is>
      </c>
      <c r="F9" s="7" t="inlineStr">
        <is>
          <t xml:space="preserve">JOSE GUTIERREZ PEDRAZA</t>
        </is>
      </c>
      <c r="G9" s="7" t="inlineStr">
        <is>
          <t xml:space="preserve">SANTA CRUZ</t>
        </is>
      </c>
      <c r="H9" s="7" t="inlineStr">
        <is>
          <t xml:space="preserve"/>
        </is>
      </c>
      <c r="I9" s="10" t="inlineStr">
        <is>
          <t xml:space="preserve">SISTEMA</t>
        </is>
      </c>
    </row>
    <row r="10">
      <c r="A10" s="7" t="inlineStr">
        <is>
          <t xml:space="preserve">MOV-0009</t>
        </is>
      </c>
      <c r="B10" s="6">
        <v>46174</v>
      </c>
      <c r="C10" s="10" t="inlineStr">
        <is>
          <t xml:space="preserve">ENTREGA INICIAL</t>
        </is>
      </c>
      <c r="D10" s="10" t="inlineStr">
        <is>
          <t xml:space="preserve">BEX-2008</t>
        </is>
      </c>
      <c r="E10" s="7" t="inlineStr">
        <is>
          <t xml:space="preserve">POR ASIGNAR</t>
        </is>
      </c>
      <c r="F10" s="7" t="inlineStr">
        <is>
          <t xml:space="preserve">JOSE GUTIERREZ PEDRAZA</t>
        </is>
      </c>
      <c r="G10" s="7" t="inlineStr">
        <is>
          <t xml:space="preserve">SANTA CRUZ</t>
        </is>
      </c>
      <c r="H10" s="7" t="inlineStr">
        <is>
          <t xml:space="preserve"/>
        </is>
      </c>
      <c r="I10" s="10" t="inlineStr">
        <is>
          <t xml:space="preserve">SISTEMA</t>
        </is>
      </c>
    </row>
    <row r="11">
      <c r="A11" s="7" t="inlineStr">
        <is>
          <t xml:space="preserve">MOV-0010</t>
        </is>
      </c>
      <c r="B11" s="6">
        <v>46174</v>
      </c>
      <c r="C11" s="10" t="inlineStr">
        <is>
          <t xml:space="preserve">ENTREGA INICIAL</t>
        </is>
      </c>
      <c r="D11" s="10" t="inlineStr">
        <is>
          <t xml:space="preserve">BEX-2009</t>
        </is>
      </c>
      <c r="E11" s="7" t="inlineStr">
        <is>
          <t xml:space="preserve">POR ASIGNAR</t>
        </is>
      </c>
      <c r="F11" s="7" t="inlineStr">
        <is>
          <t xml:space="preserve">JOSE GUTIERREZ PEDRAZA</t>
        </is>
      </c>
      <c r="G11" s="7" t="inlineStr">
        <is>
          <t xml:space="preserve">SANTA CRUZ</t>
        </is>
      </c>
      <c r="H11" s="7" t="inlineStr">
        <is>
          <t xml:space="preserve"/>
        </is>
      </c>
      <c r="I11" s="10" t="inlineStr">
        <is>
          <t xml:space="preserve">SISTEMA</t>
        </is>
      </c>
    </row>
    <row r="12">
      <c r="A12" s="7" t="inlineStr">
        <is>
          <t xml:space="preserve">MOV-0011</t>
        </is>
      </c>
      <c r="B12" s="6">
        <v>46175</v>
      </c>
      <c r="C12" s="10" t="inlineStr">
        <is>
          <t xml:space="preserve">ENTREGA INICIAL</t>
        </is>
      </c>
      <c r="D12" s="10" t="inlineStr">
        <is>
          <t xml:space="preserve">BEX-2010</t>
        </is>
      </c>
      <c r="E12" s="7" t="inlineStr">
        <is>
          <t xml:space="preserve">POR ASIGNAR</t>
        </is>
      </c>
      <c r="F12" s="7" t="inlineStr">
        <is>
          <t xml:space="preserve">MARIA FERNANDA DAZA PALMA</t>
        </is>
      </c>
      <c r="G12" s="7" t="inlineStr">
        <is>
          <t xml:space="preserve">TARIJA</t>
        </is>
      </c>
      <c r="H12" s="7" t="inlineStr">
        <is>
          <t xml:space="preserve"/>
        </is>
      </c>
      <c r="I12" s="10" t="inlineStr">
        <is>
          <t xml:space="preserve">SISTEMA</t>
        </is>
      </c>
    </row>
    <row r="13">
      <c r="A13" s="7" t="inlineStr">
        <is>
          <t xml:space="preserve">MOV-0012</t>
        </is>
      </c>
      <c r="B13" s="6">
        <v>46175</v>
      </c>
      <c r="C13" s="10" t="inlineStr">
        <is>
          <t xml:space="preserve">ENTREGA INICIAL</t>
        </is>
      </c>
      <c r="D13" s="10" t="inlineStr">
        <is>
          <t xml:space="preserve">BEX-2011</t>
        </is>
      </c>
      <c r="E13" s="7" t="inlineStr">
        <is>
          <t xml:space="preserve">POR ASIGNAR</t>
        </is>
      </c>
      <c r="F13" s="7" t="inlineStr">
        <is>
          <t xml:space="preserve">MARIA FERNANDA DAZA PALMA</t>
        </is>
      </c>
      <c r="G13" s="7" t="inlineStr">
        <is>
          <t xml:space="preserve">TARIJA</t>
        </is>
      </c>
      <c r="H13" s="7" t="inlineStr">
        <is>
          <t xml:space="preserve"/>
        </is>
      </c>
      <c r="I13" s="10" t="inlineStr">
        <is>
          <t xml:space="preserve">SISTEMA</t>
        </is>
      </c>
    </row>
    <row r="14">
      <c r="A14" s="7" t="inlineStr">
        <is>
          <t xml:space="preserve">MOV-0013</t>
        </is>
      </c>
      <c r="B14" s="6">
        <v>46175</v>
      </c>
      <c r="C14" s="10" t="inlineStr">
        <is>
          <t xml:space="preserve">ENTREGA INICIAL</t>
        </is>
      </c>
      <c r="D14" s="10" t="inlineStr">
        <is>
          <t xml:space="preserve">BEX-2012</t>
        </is>
      </c>
      <c r="E14" s="7" t="inlineStr">
        <is>
          <t xml:space="preserve">POR ASIGNAR</t>
        </is>
      </c>
      <c r="F14" s="7" t="inlineStr">
        <is>
          <t xml:space="preserve">MARIA FERNANDA DAZA PALMA</t>
        </is>
      </c>
      <c r="G14" s="7" t="inlineStr">
        <is>
          <t xml:space="preserve">TARIJA</t>
        </is>
      </c>
      <c r="H14" s="7" t="inlineStr">
        <is>
          <t xml:space="preserve"/>
        </is>
      </c>
      <c r="I14" s="10" t="inlineStr">
        <is>
          <t xml:space="preserve">SISTEMA</t>
        </is>
      </c>
    </row>
    <row r="15">
      <c r="A15" s="7" t="inlineStr">
        <is>
          <t xml:space="preserve">MOV-0014</t>
        </is>
      </c>
      <c r="B15" s="6">
        <v>46175</v>
      </c>
      <c r="C15" s="10" t="inlineStr">
        <is>
          <t xml:space="preserve">ENTREGA INICIAL</t>
        </is>
      </c>
      <c r="D15" s="10" t="inlineStr">
        <is>
          <t xml:space="preserve">BEX-2013</t>
        </is>
      </c>
      <c r="E15" s="7" t="inlineStr">
        <is>
          <t xml:space="preserve">POR ASIGNAR</t>
        </is>
      </c>
      <c r="F15" s="7" t="inlineStr">
        <is>
          <t xml:space="preserve">MARIA FERNANDA DAZA PALMA</t>
        </is>
      </c>
      <c r="G15" s="7" t="inlineStr">
        <is>
          <t xml:space="preserve">TARIJA</t>
        </is>
      </c>
      <c r="H15" s="7" t="inlineStr">
        <is>
          <t xml:space="preserve"/>
        </is>
      </c>
      <c r="I15" s="10" t="inlineStr">
        <is>
          <t xml:space="preserve">SISTEMA</t>
        </is>
      </c>
    </row>
    <row r="16">
      <c r="A16" s="7" t="inlineStr">
        <is>
          <t xml:space="preserve">MOV-0015</t>
        </is>
      </c>
      <c r="B16" s="6">
        <v>46175</v>
      </c>
      <c r="C16" s="10" t="inlineStr">
        <is>
          <t xml:space="preserve">ENTREGA INICIAL</t>
        </is>
      </c>
      <c r="D16" s="10" t="inlineStr">
        <is>
          <t xml:space="preserve">BEX-2014</t>
        </is>
      </c>
      <c r="E16" s="7" t="inlineStr">
        <is>
          <t xml:space="preserve">POR ASIGNAR</t>
        </is>
      </c>
      <c r="F16" s="7" t="inlineStr">
        <is>
          <t xml:space="preserve">MARIA FERNANDA DAZA PALMA</t>
        </is>
      </c>
      <c r="G16" s="7" t="inlineStr">
        <is>
          <t xml:space="preserve">TARIJA</t>
        </is>
      </c>
      <c r="H16" s="7" t="inlineStr">
        <is>
          <t xml:space="preserve"/>
        </is>
      </c>
      <c r="I16" s="10" t="inlineStr">
        <is>
          <t xml:space="preserve">SISTEMA</t>
        </is>
      </c>
    </row>
    <row r="17">
      <c r="A17" s="7" t="inlineStr">
        <is>
          <t xml:space="preserve">MOV-0016</t>
        </is>
      </c>
      <c r="B17" s="6">
        <v>46175</v>
      </c>
      <c r="C17" s="10" t="inlineStr">
        <is>
          <t xml:space="preserve">ENTREGA INICIAL</t>
        </is>
      </c>
      <c r="D17" s="10" t="inlineStr">
        <is>
          <t xml:space="preserve">BEX-2015</t>
        </is>
      </c>
      <c r="E17" s="7" t="inlineStr">
        <is>
          <t xml:space="preserve">POR ASIGNAR</t>
        </is>
      </c>
      <c r="F17" s="7" t="inlineStr">
        <is>
          <t xml:space="preserve">MARIA FERNANDA DAZA PALMA</t>
        </is>
      </c>
      <c r="G17" s="7" t="inlineStr">
        <is>
          <t xml:space="preserve">TARIJA</t>
        </is>
      </c>
      <c r="H17" s="7" t="inlineStr">
        <is>
          <t xml:space="preserve"/>
        </is>
      </c>
      <c r="I17" s="10" t="inlineStr">
        <is>
          <t xml:space="preserve">SISTEMA</t>
        </is>
      </c>
    </row>
    <row r="18">
      <c r="A18" s="7" t="inlineStr">
        <is>
          <t xml:space="preserve">MOV-0017</t>
        </is>
      </c>
      <c r="B18" s="6">
        <v>46175</v>
      </c>
      <c r="C18" s="10" t="inlineStr">
        <is>
          <t xml:space="preserve">ENTREGA INICIAL</t>
        </is>
      </c>
      <c r="D18" s="10" t="inlineStr">
        <is>
          <t xml:space="preserve">BEX-2016</t>
        </is>
      </c>
      <c r="E18" s="7" t="inlineStr">
        <is>
          <t xml:space="preserve">POR ASIGNAR</t>
        </is>
      </c>
      <c r="F18" s="7" t="inlineStr">
        <is>
          <t xml:space="preserve">MARIA FERNANDA DAZA PALMA</t>
        </is>
      </c>
      <c r="G18" s="7" t="inlineStr">
        <is>
          <t xml:space="preserve">TARIJA</t>
        </is>
      </c>
      <c r="H18" s="7" t="inlineStr">
        <is>
          <t xml:space="preserve"/>
        </is>
      </c>
      <c r="I18" s="10" t="inlineStr">
        <is>
          <t xml:space="preserve">SISTEMA</t>
        </is>
      </c>
    </row>
    <row r="19">
      <c r="A19" s="7" t="inlineStr">
        <is>
          <t xml:space="preserve">MOV-0018</t>
        </is>
      </c>
      <c r="B19" s="6">
        <v>46176</v>
      </c>
      <c r="C19" s="10" t="inlineStr">
        <is>
          <t xml:space="preserve">ENTREGA INICIAL</t>
        </is>
      </c>
      <c r="D19" s="10" t="inlineStr">
        <is>
          <t xml:space="preserve">BEX-2017</t>
        </is>
      </c>
      <c r="E19" s="7" t="inlineStr">
        <is>
          <t xml:space="preserve">POR ASIGNAR</t>
        </is>
      </c>
      <c r="F19" s="7" t="inlineStr">
        <is>
          <t xml:space="preserve">LIONEL CHABUR</t>
        </is>
      </c>
      <c r="G19" s="7" t="inlineStr">
        <is>
          <t xml:space="preserve">LA PAZ</t>
        </is>
      </c>
      <c r="H19" s="7" t="inlineStr">
        <is>
          <t xml:space="preserve"/>
        </is>
      </c>
      <c r="I19" s="10" t="inlineStr">
        <is>
          <t xml:space="preserve">SISTEMA</t>
        </is>
      </c>
    </row>
    <row r="20">
      <c r="A20" s="7" t="inlineStr">
        <is>
          <t xml:space="preserve">MOV-0019</t>
        </is>
      </c>
      <c r="B20" s="6">
        <v>46176</v>
      </c>
      <c r="C20" s="10" t="inlineStr">
        <is>
          <t xml:space="preserve">ENTREGA INICIAL</t>
        </is>
      </c>
      <c r="D20" s="10" t="inlineStr">
        <is>
          <t xml:space="preserve">BEX-2018</t>
        </is>
      </c>
      <c r="E20" s="7" t="inlineStr">
        <is>
          <t xml:space="preserve">POR ASIGNAR</t>
        </is>
      </c>
      <c r="F20" s="7" t="inlineStr">
        <is>
          <t xml:space="preserve">LIONEL CHABUR</t>
        </is>
      </c>
      <c r="G20" s="7" t="inlineStr">
        <is>
          <t xml:space="preserve">LA PAZ</t>
        </is>
      </c>
      <c r="H20" s="7" t="inlineStr">
        <is>
          <t xml:space="preserve"/>
        </is>
      </c>
      <c r="I20" s="10" t="inlineStr">
        <is>
          <t xml:space="preserve">SISTEMA</t>
        </is>
      </c>
    </row>
    <row r="21">
      <c r="A21" s="7" t="inlineStr">
        <is>
          <t xml:space="preserve">MOV-0020</t>
        </is>
      </c>
      <c r="B21" s="6">
        <v>46176</v>
      </c>
      <c r="C21" s="10" t="inlineStr">
        <is>
          <t xml:space="preserve">ENTREGA INICIAL</t>
        </is>
      </c>
      <c r="D21" s="10" t="inlineStr">
        <is>
          <t xml:space="preserve">BEX-2019</t>
        </is>
      </c>
      <c r="E21" s="7" t="inlineStr">
        <is>
          <t xml:space="preserve">POR ASIGNAR</t>
        </is>
      </c>
      <c r="F21" s="7" t="inlineStr">
        <is>
          <t xml:space="preserve">LIONEL CHABUR</t>
        </is>
      </c>
      <c r="G21" s="7" t="inlineStr">
        <is>
          <t xml:space="preserve">LA PAZ</t>
        </is>
      </c>
      <c r="H21" s="7" t="inlineStr">
        <is>
          <t xml:space="preserve"/>
        </is>
      </c>
      <c r="I21" s="10" t="inlineStr">
        <is>
          <t xml:space="preserve">SISTEMA</t>
        </is>
      </c>
    </row>
    <row r="22">
      <c r="A22" s="7" t="inlineStr">
        <is>
          <t xml:space="preserve">MOV-0021</t>
        </is>
      </c>
      <c r="B22" s="6">
        <v>46176</v>
      </c>
      <c r="C22" s="10" t="inlineStr">
        <is>
          <t xml:space="preserve">ENTREGA INICIAL</t>
        </is>
      </c>
      <c r="D22" s="10" t="inlineStr">
        <is>
          <t xml:space="preserve">BEX-2020</t>
        </is>
      </c>
      <c r="E22" s="7" t="inlineStr">
        <is>
          <t xml:space="preserve">POR ASIGNAR</t>
        </is>
      </c>
      <c r="F22" s="7" t="inlineStr">
        <is>
          <t xml:space="preserve">LIONEL CHABUR</t>
        </is>
      </c>
      <c r="G22" s="7" t="inlineStr">
        <is>
          <t xml:space="preserve">LA PAZ</t>
        </is>
      </c>
      <c r="H22" s="7" t="inlineStr">
        <is>
          <t xml:space="preserve"/>
        </is>
      </c>
      <c r="I22" s="10" t="inlineStr">
        <is>
          <t xml:space="preserve">SISTEMA</t>
        </is>
      </c>
    </row>
    <row r="23">
      <c r="A23" s="7" t="inlineStr">
        <is>
          <t xml:space="preserve">MOV-0022</t>
        </is>
      </c>
      <c r="B23" s="6">
        <v>46176</v>
      </c>
      <c r="C23" s="10" t="inlineStr">
        <is>
          <t xml:space="preserve">ENTREGA INICIAL</t>
        </is>
      </c>
      <c r="D23" s="10" t="inlineStr">
        <is>
          <t xml:space="preserve">BEX-2021</t>
        </is>
      </c>
      <c r="E23" s="7" t="inlineStr">
        <is>
          <t xml:space="preserve">POR ASIGNAR</t>
        </is>
      </c>
      <c r="F23" s="7" t="inlineStr">
        <is>
          <t xml:space="preserve">LIONEL CHABUR</t>
        </is>
      </c>
      <c r="G23" s="7" t="inlineStr">
        <is>
          <t xml:space="preserve">LA PAZ</t>
        </is>
      </c>
      <c r="H23" s="7" t="inlineStr">
        <is>
          <t xml:space="preserve"/>
        </is>
      </c>
      <c r="I23" s="10" t="inlineStr">
        <is>
          <t xml:space="preserve">SISTEMA</t>
        </is>
      </c>
    </row>
    <row r="24">
      <c r="A24" s="7" t="inlineStr">
        <is>
          <t xml:space="preserve">MOV-0023</t>
        </is>
      </c>
      <c r="B24" s="6">
        <v>46176</v>
      </c>
      <c r="C24" s="10" t="inlineStr">
        <is>
          <t xml:space="preserve">ENTREGA INICIAL</t>
        </is>
      </c>
      <c r="D24" s="10" t="inlineStr">
        <is>
          <t xml:space="preserve">BEX-2022</t>
        </is>
      </c>
      <c r="E24" s="7" t="inlineStr">
        <is>
          <t xml:space="preserve">POR ASIGNAR</t>
        </is>
      </c>
      <c r="F24" s="7" t="inlineStr">
        <is>
          <t xml:space="preserve">LIONEL CHABUR</t>
        </is>
      </c>
      <c r="G24" s="7" t="inlineStr">
        <is>
          <t xml:space="preserve">LA PAZ</t>
        </is>
      </c>
      <c r="H24" s="7" t="inlineStr">
        <is>
          <t xml:space="preserve"/>
        </is>
      </c>
      <c r="I24" s="10" t="inlineStr">
        <is>
          <t xml:space="preserve">SISTEMA</t>
        </is>
      </c>
    </row>
    <row r="25">
      <c r="A25" s="7" t="inlineStr">
        <is>
          <t xml:space="preserve">MOV-0024</t>
        </is>
      </c>
      <c r="B25" s="6">
        <v>46176</v>
      </c>
      <c r="C25" s="10" t="inlineStr">
        <is>
          <t xml:space="preserve">ENTREGA INICIAL</t>
        </is>
      </c>
      <c r="D25" s="10" t="inlineStr">
        <is>
          <t xml:space="preserve">BEX-2023</t>
        </is>
      </c>
      <c r="E25" s="7" t="inlineStr">
        <is>
          <t xml:space="preserve">POR ASIGNAR</t>
        </is>
      </c>
      <c r="F25" s="7" t="inlineStr">
        <is>
          <t xml:space="preserve">LIONEL CHABUR</t>
        </is>
      </c>
      <c r="G25" s="7" t="inlineStr">
        <is>
          <t xml:space="preserve">LA PAZ</t>
        </is>
      </c>
      <c r="H25" s="7" t="inlineStr">
        <is>
          <t xml:space="preserve"/>
        </is>
      </c>
      <c r="I25" s="10" t="inlineStr">
        <is>
          <t xml:space="preserve">SISTEMA</t>
        </is>
      </c>
    </row>
    <row r="26">
      <c r="A26" s="7" t="inlineStr">
        <is>
          <t xml:space="preserve">MOV-0025</t>
        </is>
      </c>
      <c r="B26" s="6">
        <v>46176</v>
      </c>
      <c r="C26" s="10" t="inlineStr">
        <is>
          <t xml:space="preserve">ENTREGA INICIAL</t>
        </is>
      </c>
      <c r="D26" s="10" t="inlineStr">
        <is>
          <t xml:space="preserve">BEX-2024</t>
        </is>
      </c>
      <c r="E26" s="7" t="inlineStr">
        <is>
          <t xml:space="preserve">POR ASIGNAR</t>
        </is>
      </c>
      <c r="F26" s="7" t="inlineStr">
        <is>
          <t xml:space="preserve">LIONEL CHABUR</t>
        </is>
      </c>
      <c r="G26" s="7" t="inlineStr">
        <is>
          <t xml:space="preserve">LA PAZ</t>
        </is>
      </c>
      <c r="H26" s="7" t="inlineStr">
        <is>
          <t xml:space="preserve"/>
        </is>
      </c>
      <c r="I26" s="10" t="inlineStr">
        <is>
          <t xml:space="preserve">SISTEMA</t>
        </is>
      </c>
    </row>
    <row r="27">
      <c r="A27" s="7" t="inlineStr">
        <is>
          <t xml:space="preserve">MOV-0026</t>
        </is>
      </c>
      <c r="B27" s="6">
        <v>46176</v>
      </c>
      <c r="C27" s="10" t="inlineStr">
        <is>
          <t xml:space="preserve">ENTREGA INICIAL</t>
        </is>
      </c>
      <c r="D27" s="10" t="inlineStr">
        <is>
          <t xml:space="preserve">BEX-2025</t>
        </is>
      </c>
      <c r="E27" s="7" t="inlineStr">
        <is>
          <t xml:space="preserve">POR ASIGNAR</t>
        </is>
      </c>
      <c r="F27" s="7" t="inlineStr">
        <is>
          <t xml:space="preserve">LIONEL CHABUR</t>
        </is>
      </c>
      <c r="G27" s="7" t="inlineStr">
        <is>
          <t xml:space="preserve">LA PAZ</t>
        </is>
      </c>
      <c r="H27" s="7" t="inlineStr">
        <is>
          <t xml:space="preserve"/>
        </is>
      </c>
      <c r="I27" s="10" t="inlineStr">
        <is>
          <t xml:space="preserve">SISTEMA</t>
        </is>
      </c>
    </row>
    <row r="28">
      <c r="A28" s="7" t="inlineStr">
        <is>
          <t xml:space="preserve">MOV-0027</t>
        </is>
      </c>
      <c r="B28" s="6">
        <v>46176</v>
      </c>
      <c r="C28" s="10" t="inlineStr">
        <is>
          <t xml:space="preserve">ENTREGA INICIAL</t>
        </is>
      </c>
      <c r="D28" s="10" t="inlineStr">
        <is>
          <t xml:space="preserve">BEX-2026</t>
        </is>
      </c>
      <c r="E28" s="7" t="inlineStr">
        <is>
          <t xml:space="preserve">POR ASIGNAR</t>
        </is>
      </c>
      <c r="F28" s="7" t="inlineStr">
        <is>
          <t xml:space="preserve">LIONEL CHABUR</t>
        </is>
      </c>
      <c r="G28" s="7" t="inlineStr">
        <is>
          <t xml:space="preserve">LA PAZ</t>
        </is>
      </c>
      <c r="H28" s="7" t="inlineStr">
        <is>
          <t xml:space="preserve"/>
        </is>
      </c>
      <c r="I28" s="10" t="inlineStr">
        <is>
          <t xml:space="preserve">SISTEMA</t>
        </is>
      </c>
    </row>
    <row r="29">
      <c r="A29" s="7" t="inlineStr">
        <is>
          <t xml:space="preserve">MOV-0028</t>
        </is>
      </c>
      <c r="B29" s="6">
        <v>46176</v>
      </c>
      <c r="C29" s="10" t="inlineStr">
        <is>
          <t xml:space="preserve">ENTREGA INICIAL</t>
        </is>
      </c>
      <c r="D29" s="10" t="inlineStr">
        <is>
          <t xml:space="preserve">BEX-2027</t>
        </is>
      </c>
      <c r="E29" s="7" t="inlineStr">
        <is>
          <t xml:space="preserve">POR ASIGNAR</t>
        </is>
      </c>
      <c r="F29" s="7" t="inlineStr">
        <is>
          <t xml:space="preserve">NATALIA VILLARROEL</t>
        </is>
      </c>
      <c r="G29" s="7" t="inlineStr">
        <is>
          <t xml:space="preserve">COCHABAMBA</t>
        </is>
      </c>
      <c r="H29" s="7" t="inlineStr">
        <is>
          <t xml:space="preserve"/>
        </is>
      </c>
      <c r="I29" s="10" t="inlineStr">
        <is>
          <t xml:space="preserve">SISTEMA</t>
        </is>
      </c>
    </row>
    <row r="30">
      <c r="A30" s="7" t="inlineStr">
        <is>
          <t xml:space="preserve">MOV-0029</t>
        </is>
      </c>
      <c r="B30" s="6">
        <v>46176</v>
      </c>
      <c r="C30" s="10" t="inlineStr">
        <is>
          <t xml:space="preserve">ENTREGA INICIAL</t>
        </is>
      </c>
      <c r="D30" s="10" t="inlineStr">
        <is>
          <t xml:space="preserve">BEX-2028</t>
        </is>
      </c>
      <c r="E30" s="7" t="inlineStr">
        <is>
          <t xml:space="preserve">POR ASIGNAR</t>
        </is>
      </c>
      <c r="F30" s="7" t="inlineStr">
        <is>
          <t xml:space="preserve">NATALIA VILLARROEL</t>
        </is>
      </c>
      <c r="G30" s="7" t="inlineStr">
        <is>
          <t xml:space="preserve">COCHABAMBA</t>
        </is>
      </c>
      <c r="H30" s="7" t="inlineStr">
        <is>
          <t xml:space="preserve"/>
        </is>
      </c>
      <c r="I30" s="10" t="inlineStr">
        <is>
          <t xml:space="preserve">SISTEMA</t>
        </is>
      </c>
    </row>
    <row r="31">
      <c r="A31" s="7" t="inlineStr">
        <is>
          <t xml:space="preserve">MOV-0030</t>
        </is>
      </c>
      <c r="B31" s="6">
        <v>46176</v>
      </c>
      <c r="C31" s="10" t="inlineStr">
        <is>
          <t xml:space="preserve">ENTREGA INICIAL</t>
        </is>
      </c>
      <c r="D31" s="10" t="inlineStr">
        <is>
          <t xml:space="preserve">BEX-2029</t>
        </is>
      </c>
      <c r="E31" s="7" t="inlineStr">
        <is>
          <t xml:space="preserve">POR ASIGNAR</t>
        </is>
      </c>
      <c r="F31" s="7" t="inlineStr">
        <is>
          <t xml:space="preserve">NATALIA VILLARROEL</t>
        </is>
      </c>
      <c r="G31" s="7" t="inlineStr">
        <is>
          <t xml:space="preserve">COCHABAMBA</t>
        </is>
      </c>
      <c r="H31" s="7" t="inlineStr">
        <is>
          <t xml:space="preserve"/>
        </is>
      </c>
      <c r="I31" s="10" t="inlineStr">
        <is>
          <t xml:space="preserve">SISTEMA</t>
        </is>
      </c>
    </row>
    <row r="32">
      <c r="A32" s="7" t="inlineStr">
        <is>
          <t xml:space="preserve">MOV-0031</t>
        </is>
      </c>
      <c r="B32" s="6">
        <v>46176</v>
      </c>
      <c r="C32" s="10" t="inlineStr">
        <is>
          <t xml:space="preserve">ENTREGA INICIAL</t>
        </is>
      </c>
      <c r="D32" s="10" t="inlineStr">
        <is>
          <t xml:space="preserve">BEX-2030</t>
        </is>
      </c>
      <c r="E32" s="7" t="inlineStr">
        <is>
          <t xml:space="preserve">POR ASIGNAR</t>
        </is>
      </c>
      <c r="F32" s="7" t="inlineStr">
        <is>
          <t xml:space="preserve">NATALIA VILLARROEL</t>
        </is>
      </c>
      <c r="G32" s="7" t="inlineStr">
        <is>
          <t xml:space="preserve">COCHABAMBA</t>
        </is>
      </c>
      <c r="H32" s="7" t="inlineStr">
        <is>
          <t xml:space="preserve"/>
        </is>
      </c>
      <c r="I32" s="10" t="inlineStr">
        <is>
          <t xml:space="preserve">SISTEMA</t>
        </is>
      </c>
    </row>
    <row r="33">
      <c r="A33" s="7" t="inlineStr">
        <is>
          <t xml:space="preserve">MOV-0032</t>
        </is>
      </c>
      <c r="B33" s="6">
        <v>46176</v>
      </c>
      <c r="C33" s="10" t="inlineStr">
        <is>
          <t xml:space="preserve">ENTREGA INICIAL</t>
        </is>
      </c>
      <c r="D33" s="10" t="inlineStr">
        <is>
          <t xml:space="preserve">BEX-2031</t>
        </is>
      </c>
      <c r="E33" s="7" t="inlineStr">
        <is>
          <t xml:space="preserve">POR ASIGNAR</t>
        </is>
      </c>
      <c r="F33" s="7" t="inlineStr">
        <is>
          <t xml:space="preserve">NATALIA VILLARROEL</t>
        </is>
      </c>
      <c r="G33" s="7" t="inlineStr">
        <is>
          <t xml:space="preserve">COCHABAMBA</t>
        </is>
      </c>
      <c r="H33" s="7" t="inlineStr">
        <is>
          <t xml:space="preserve"/>
        </is>
      </c>
      <c r="I33" s="10" t="inlineStr">
        <is>
          <t xml:space="preserve">SISTEMA</t>
        </is>
      </c>
    </row>
    <row r="34">
      <c r="A34" s="7" t="inlineStr">
        <is>
          <t xml:space="preserve">MOV-0033</t>
        </is>
      </c>
      <c r="B34" s="6">
        <v>46176</v>
      </c>
      <c r="C34" s="10" t="inlineStr">
        <is>
          <t xml:space="preserve">ENTREGA INICIAL</t>
        </is>
      </c>
      <c r="D34" s="10" t="inlineStr">
        <is>
          <t xml:space="preserve">BEX-2032</t>
        </is>
      </c>
      <c r="E34" s="7" t="inlineStr">
        <is>
          <t xml:space="preserve">POR ASIGNAR</t>
        </is>
      </c>
      <c r="F34" s="7" t="inlineStr">
        <is>
          <t xml:space="preserve">NATALIA VILLARROEL</t>
        </is>
      </c>
      <c r="G34" s="7" t="inlineStr">
        <is>
          <t xml:space="preserve">COCHABAMBA</t>
        </is>
      </c>
      <c r="H34" s="7" t="inlineStr">
        <is>
          <t xml:space="preserve"/>
        </is>
      </c>
      <c r="I34" s="10" t="inlineStr">
        <is>
          <t xml:space="preserve">SISTEMA</t>
        </is>
      </c>
    </row>
    <row r="35">
      <c r="A35" s="7" t="inlineStr">
        <is>
          <t xml:space="preserve">MOV-0034</t>
        </is>
      </c>
      <c r="B35" s="6">
        <v>46176</v>
      </c>
      <c r="C35" s="10" t="inlineStr">
        <is>
          <t xml:space="preserve">ENTREGA INICIAL</t>
        </is>
      </c>
      <c r="D35" s="10" t="inlineStr">
        <is>
          <t xml:space="preserve">BEX-2033</t>
        </is>
      </c>
      <c r="E35" s="7" t="inlineStr">
        <is>
          <t xml:space="preserve">POR ASIGNAR</t>
        </is>
      </c>
      <c r="F35" s="7" t="inlineStr">
        <is>
          <t xml:space="preserve">NATALIA VILLARROEL</t>
        </is>
      </c>
      <c r="G35" s="7" t="inlineStr">
        <is>
          <t xml:space="preserve">COCHABAMBA</t>
        </is>
      </c>
      <c r="H35" s="7" t="inlineStr">
        <is>
          <t xml:space="preserve"/>
        </is>
      </c>
      <c r="I35" s="10" t="inlineStr">
        <is>
          <t xml:space="preserve">SISTEMA</t>
        </is>
      </c>
    </row>
    <row r="36">
      <c r="A36" s="7" t="inlineStr">
        <is>
          <t xml:space="preserve">MOV-0035</t>
        </is>
      </c>
      <c r="B36" s="6">
        <v>46176</v>
      </c>
      <c r="C36" s="10" t="inlineStr">
        <is>
          <t xml:space="preserve">ENTREGA INICIAL</t>
        </is>
      </c>
      <c r="D36" s="10" t="inlineStr">
        <is>
          <t xml:space="preserve">BEX-2034</t>
        </is>
      </c>
      <c r="E36" s="7" t="inlineStr">
        <is>
          <t xml:space="preserve">POR ASIGNAR</t>
        </is>
      </c>
      <c r="F36" s="7" t="inlineStr">
        <is>
          <t xml:space="preserve">NATALIA VILLARROEL</t>
        </is>
      </c>
      <c r="G36" s="7" t="inlineStr">
        <is>
          <t xml:space="preserve">COCHABAMBA</t>
        </is>
      </c>
      <c r="H36" s="7" t="inlineStr">
        <is>
          <t xml:space="preserve"/>
        </is>
      </c>
      <c r="I36" s="10" t="inlineStr">
        <is>
          <t xml:space="preserve">SISTEMA</t>
        </is>
      </c>
    </row>
    <row r="37">
      <c r="A37" s="7" t="inlineStr">
        <is>
          <t xml:space="preserve">MOV-0036</t>
        </is>
      </c>
      <c r="B37" s="6">
        <v>46176</v>
      </c>
      <c r="C37" s="10" t="inlineStr">
        <is>
          <t xml:space="preserve">ENTREGA INICIAL</t>
        </is>
      </c>
      <c r="D37" s="10" t="inlineStr">
        <is>
          <t xml:space="preserve">BEX-2035</t>
        </is>
      </c>
      <c r="E37" s="7" t="inlineStr">
        <is>
          <t xml:space="preserve">POR ASIGNAR</t>
        </is>
      </c>
      <c r="F37" s="7" t="inlineStr">
        <is>
          <t xml:space="preserve">NATALIA VILLARROEL</t>
        </is>
      </c>
      <c r="G37" s="7" t="inlineStr">
        <is>
          <t xml:space="preserve">COCHABAMBA</t>
        </is>
      </c>
      <c r="H37" s="7" t="inlineStr">
        <is>
          <t xml:space="preserve"/>
        </is>
      </c>
      <c r="I37" s="10" t="inlineStr">
        <is>
          <t xml:space="preserve">SISTEMA</t>
        </is>
      </c>
    </row>
    <row r="38">
      <c r="A38" s="7" t="inlineStr">
        <is>
          <t xml:space="preserve">MOV-0037</t>
        </is>
      </c>
      <c r="B38" s="6">
        <v>46176</v>
      </c>
      <c r="C38" s="10" t="inlineStr">
        <is>
          <t xml:space="preserve">ENTREGA INICIAL</t>
        </is>
      </c>
      <c r="D38" s="10" t="inlineStr">
        <is>
          <t xml:space="preserve">BEX-2036</t>
        </is>
      </c>
      <c r="E38" s="7" t="inlineStr">
        <is>
          <t xml:space="preserve">POR ASIGNAR</t>
        </is>
      </c>
      <c r="F38" s="7" t="inlineStr">
        <is>
          <t xml:space="preserve">NATALIA VILLARROEL</t>
        </is>
      </c>
      <c r="G38" s="7" t="inlineStr">
        <is>
          <t xml:space="preserve">COCHABAMBA</t>
        </is>
      </c>
      <c r="H38" s="7" t="inlineStr">
        <is>
          <t xml:space="preserve"/>
        </is>
      </c>
      <c r="I38" s="10" t="inlineStr">
        <is>
          <t xml:space="preserve">SISTEMA</t>
        </is>
      </c>
    </row>
    <row r="39">
      <c r="A39" s="7" t="inlineStr">
        <is>
          <t xml:space="preserve">MOV-0038</t>
        </is>
      </c>
      <c r="B39" s="6">
        <v>46176</v>
      </c>
      <c r="C39" s="10" t="inlineStr">
        <is>
          <t xml:space="preserve">ENTREGA INICIAL</t>
        </is>
      </c>
      <c r="D39" s="10" t="inlineStr">
        <is>
          <t xml:space="preserve">BEX-2037</t>
        </is>
      </c>
      <c r="E39" s="7" t="inlineStr">
        <is>
          <t xml:space="preserve">ALEXIA MICAELA ERGUETA ALIAGA</t>
        </is>
      </c>
      <c r="F39" s="7" t="inlineStr">
        <is>
          <t xml:space="preserve">GERCY EVER ERGUETA KIPPES</t>
        </is>
      </c>
      <c r="G39" s="7" t="inlineStr">
        <is>
          <t xml:space="preserve">LA PAZ</t>
        </is>
      </c>
      <c r="H39" s="7" t="inlineStr">
        <is>
          <t xml:space="preserve"/>
        </is>
      </c>
      <c r="I39" s="10" t="inlineStr">
        <is>
          <t xml:space="preserve">SISTEMA</t>
        </is>
      </c>
    </row>
    <row r="40">
      <c r="A40" s="7" t="inlineStr">
        <is>
          <t xml:space="preserve">MOV-0039</t>
        </is>
      </c>
      <c r="B40" s="6">
        <v>46176</v>
      </c>
      <c r="C40" s="10" t="inlineStr">
        <is>
          <t xml:space="preserve">ENTREGA INICIAL</t>
        </is>
      </c>
      <c r="D40" s="10" t="inlineStr">
        <is>
          <t xml:space="preserve">BEX-2038</t>
        </is>
      </c>
      <c r="E40" s="7" t="inlineStr">
        <is>
          <t xml:space="preserve">GERCY EVER ERGUETA KIPPES</t>
        </is>
      </c>
      <c r="F40" s="7" t="inlineStr">
        <is>
          <t xml:space="preserve">GERCY EVER ERGUETA KIPPES</t>
        </is>
      </c>
      <c r="G40" s="7" t="inlineStr">
        <is>
          <t xml:space="preserve">LA PAZ</t>
        </is>
      </c>
      <c r="H40" s="7" t="inlineStr">
        <is>
          <t xml:space="preserve"/>
        </is>
      </c>
      <c r="I40" s="10" t="inlineStr">
        <is>
          <t xml:space="preserve">SISTEMA</t>
        </is>
      </c>
    </row>
    <row r="41">
      <c r="A41" s="7" t="inlineStr">
        <is>
          <t xml:space="preserve">MOV-0040</t>
        </is>
      </c>
      <c r="B41" s="6">
        <v>46176</v>
      </c>
      <c r="C41" s="10" t="inlineStr">
        <is>
          <t xml:space="preserve">ENTREGA INICIAL</t>
        </is>
      </c>
      <c r="D41" s="10" t="inlineStr">
        <is>
          <t xml:space="preserve">BEX-2039</t>
        </is>
      </c>
      <c r="E41" s="7" t="inlineStr">
        <is>
          <t xml:space="preserve">CESAR OSCAR LAURA CHUYMA</t>
        </is>
      </c>
      <c r="F41" s="7" t="inlineStr">
        <is>
          <t xml:space="preserve">JOEL DAVID HUANCA HUANCA</t>
        </is>
      </c>
      <c r="G41" s="7" t="inlineStr">
        <is>
          <t xml:space="preserve">LA PAZ</t>
        </is>
      </c>
      <c r="H41" s="7" t="inlineStr">
        <is>
          <t xml:space="preserve"/>
        </is>
      </c>
      <c r="I41" s="10" t="inlineStr">
        <is>
          <t xml:space="preserve">SISTEMA</t>
        </is>
      </c>
    </row>
    <row r="42">
      <c r="A42" s="7" t="inlineStr">
        <is>
          <t xml:space="preserve">MOV-0041</t>
        </is>
      </c>
      <c r="B42" s="6">
        <v>46176</v>
      </c>
      <c r="C42" s="10" t="inlineStr">
        <is>
          <t xml:space="preserve">ENTREGA INICIAL</t>
        </is>
      </c>
      <c r="D42" s="10" t="inlineStr">
        <is>
          <t xml:space="preserve">BEX-2040</t>
        </is>
      </c>
      <c r="E42" s="7" t="inlineStr">
        <is>
          <t xml:space="preserve">MILENKO ADRIANA ORDONEZ NUNEZ</t>
        </is>
      </c>
      <c r="F42" s="7" t="inlineStr">
        <is>
          <t xml:space="preserve">MILENKO ADRIANA ORDONEZ NUNEZ</t>
        </is>
      </c>
      <c r="G42" s="7" t="inlineStr">
        <is>
          <t xml:space="preserve">LA PAZ</t>
        </is>
      </c>
      <c r="H42" s="7" t="inlineStr">
        <is>
          <t xml:space="preserve"/>
        </is>
      </c>
      <c r="I42" s="10" t="inlineStr">
        <is>
          <t xml:space="preserve">SISTEMA</t>
        </is>
      </c>
    </row>
    <row r="43">
      <c r="A43" s="7" t="inlineStr">
        <is>
          <t xml:space="preserve">MOV-0042</t>
        </is>
      </c>
      <c r="B43" s="6">
        <v>46176</v>
      </c>
      <c r="C43" s="10" t="inlineStr">
        <is>
          <t xml:space="preserve">ENTREGA INICIAL</t>
        </is>
      </c>
      <c r="D43" s="10" t="inlineStr">
        <is>
          <t xml:space="preserve">BEX-2041</t>
        </is>
      </c>
      <c r="E43" s="7" t="inlineStr">
        <is>
          <t xml:space="preserve">RUTH CELINA PONCE PACO</t>
        </is>
      </c>
      <c r="F43" s="7" t="inlineStr">
        <is>
          <t xml:space="preserve">MILENKO ADRIANA ORDONEZ NUNEZ</t>
        </is>
      </c>
      <c r="G43" s="7" t="inlineStr">
        <is>
          <t xml:space="preserve">LA PAZ</t>
        </is>
      </c>
      <c r="H43" s="7" t="inlineStr">
        <is>
          <t xml:space="preserve"/>
        </is>
      </c>
      <c r="I43" s="10" t="inlineStr">
        <is>
          <t xml:space="preserve">SISTEMA</t>
        </is>
      </c>
    </row>
    <row r="44">
      <c r="A44" s="7" t="inlineStr">
        <is>
          <t xml:space="preserve">MOV-0043</t>
        </is>
      </c>
      <c r="B44" s="6">
        <v>46176</v>
      </c>
      <c r="C44" s="10" t="inlineStr">
        <is>
          <t xml:space="preserve">ENTREGA INICIAL</t>
        </is>
      </c>
      <c r="D44" s="10" t="inlineStr">
        <is>
          <t xml:space="preserve">BEX-2042</t>
        </is>
      </c>
      <c r="E44" s="7" t="inlineStr">
        <is>
          <t xml:space="preserve">SILVANA ASUNCION ORDONEZ NUNEZ</t>
        </is>
      </c>
      <c r="F44" s="7" t="inlineStr">
        <is>
          <t xml:space="preserve">MILENKO ADRIANA ORDONEZ NUNEZ</t>
        </is>
      </c>
      <c r="G44" s="7" t="inlineStr">
        <is>
          <t xml:space="preserve">LA PAZ</t>
        </is>
      </c>
      <c r="H44" s="7" t="inlineStr">
        <is>
          <t xml:space="preserve"/>
        </is>
      </c>
      <c r="I44" s="10" t="inlineStr">
        <is>
          <t xml:space="preserve">SISTEMA</t>
        </is>
      </c>
    </row>
    <row r="45">
      <c r="A45" s="7" t="inlineStr">
        <is>
          <t xml:space="preserve">MOV-0044</t>
        </is>
      </c>
      <c r="B45" s="6">
        <v>46176</v>
      </c>
      <c r="C45" s="10" t="inlineStr">
        <is>
          <t xml:space="preserve">ENTREGA INICIAL</t>
        </is>
      </c>
      <c r="D45" s="10" t="inlineStr">
        <is>
          <t xml:space="preserve">BEX-2043</t>
        </is>
      </c>
      <c r="E45" s="7" t="inlineStr">
        <is>
          <t xml:space="preserve">ADILSON ALMANZA GOMEZ</t>
        </is>
      </c>
      <c r="F45" s="7" t="inlineStr">
        <is>
          <t xml:space="preserve">MIRIAM ROSA CHAMBI QUISPE</t>
        </is>
      </c>
      <c r="G45" s="7" t="inlineStr">
        <is>
          <t xml:space="preserve">ORURO</t>
        </is>
      </c>
      <c r="H45" s="7" t="inlineStr">
        <is>
          <t xml:space="preserve"/>
        </is>
      </c>
      <c r="I45" s="10" t="inlineStr">
        <is>
          <t xml:space="preserve">SISTEMA</t>
        </is>
      </c>
    </row>
    <row r="46">
      <c r="A46" s="7" t="inlineStr">
        <is>
          <t xml:space="preserve">MOV-0045</t>
        </is>
      </c>
      <c r="B46" s="6">
        <v>46176</v>
      </c>
      <c r="C46" s="10" t="inlineStr">
        <is>
          <t xml:space="preserve">ENTREGA INICIAL</t>
        </is>
      </c>
      <c r="D46" s="10" t="inlineStr">
        <is>
          <t xml:space="preserve">BEX-2044</t>
        </is>
      </c>
      <c r="E46" s="7" t="inlineStr">
        <is>
          <t xml:space="preserve">ARACELI MARLENE TAPIA GUERRA</t>
        </is>
      </c>
      <c r="F46" s="7" t="inlineStr">
        <is>
          <t xml:space="preserve">MIRIAM ROSA CHAMBI QUISPE</t>
        </is>
      </c>
      <c r="G46" s="7" t="inlineStr">
        <is>
          <t xml:space="preserve">ORURO</t>
        </is>
      </c>
      <c r="H46" s="7" t="inlineStr">
        <is>
          <t xml:space="preserve"/>
        </is>
      </c>
      <c r="I46" s="10" t="inlineStr">
        <is>
          <t xml:space="preserve">SISTEMA</t>
        </is>
      </c>
    </row>
    <row r="47">
      <c r="A47" s="7" t="inlineStr">
        <is>
          <t xml:space="preserve">MOV-0046</t>
        </is>
      </c>
      <c r="B47" s="6">
        <v>46176</v>
      </c>
      <c r="C47" s="10" t="inlineStr">
        <is>
          <t xml:space="preserve">ENTREGA INICIAL</t>
        </is>
      </c>
      <c r="D47" s="10" t="inlineStr">
        <is>
          <t xml:space="preserve">BEX-2045</t>
        </is>
      </c>
      <c r="E47" s="7" t="inlineStr">
        <is>
          <t xml:space="preserve">BRENDA XIMENA BARBA VACA</t>
        </is>
      </c>
      <c r="F47" s="7" t="inlineStr">
        <is>
          <t xml:space="preserve">BEATRIZ OVIEDO OVIEDO</t>
        </is>
      </c>
      <c r="G47" s="7" t="inlineStr">
        <is>
          <t xml:space="preserve">SANTA CRUZ</t>
        </is>
      </c>
      <c r="H47" s="7" t="inlineStr">
        <is>
          <t xml:space="preserve">Reposicion por perdida</t>
        </is>
      </c>
      <c r="I47" s="10" t="inlineStr">
        <is>
          <t xml:space="preserve">SISTEMA</t>
        </is>
      </c>
    </row>
    <row r="48">
      <c r="A48" s="7" t="inlineStr">
        <is>
          <t xml:space="preserve">MOV-0047</t>
        </is>
      </c>
      <c r="B48" s="6">
        <v>46176</v>
      </c>
      <c r="C48" s="10" t="inlineStr">
        <is>
          <t xml:space="preserve">ENTREGA INICIAL</t>
        </is>
      </c>
      <c r="D48" s="10" t="inlineStr">
        <is>
          <t xml:space="preserve">BEX-2046</t>
        </is>
      </c>
      <c r="E48" s="7" t="inlineStr">
        <is>
          <t xml:space="preserve">MARCO ANTONIO ESCOBAR ALVAREZ</t>
        </is>
      </c>
      <c r="F48" s="7" t="inlineStr">
        <is>
          <t xml:space="preserve">BEATRIZ OVIEDO OVIEDO</t>
        </is>
      </c>
      <c r="G48" s="7" t="inlineStr">
        <is>
          <t xml:space="preserve">SANTA CRUZ</t>
        </is>
      </c>
      <c r="H48" s="7" t="inlineStr">
        <is>
          <t xml:space="preserve">Reposicion - perdio BEX-0518</t>
        </is>
      </c>
      <c r="I48" s="10" t="inlineStr">
        <is>
          <t xml:space="preserve">SISTEMA</t>
        </is>
      </c>
    </row>
    <row r="49">
      <c r="A49" s="7" t="inlineStr">
        <is>
          <t xml:space="preserve">MOV-0048</t>
        </is>
      </c>
      <c r="B49" s="6">
        <v>46176</v>
      </c>
      <c r="C49" s="10" t="inlineStr">
        <is>
          <t xml:space="preserve">PERDIDA</t>
        </is>
      </c>
      <c r="D49" s="10" t="inlineStr">
        <is>
          <t xml:space="preserve">BEX-0518</t>
        </is>
      </c>
      <c r="E49" s="7" t="inlineStr">
        <is>
          <t xml:space="preserve">MARCO ANTONIO ESCOBAR ALVAREZ</t>
        </is>
      </c>
      <c r="F49" s="7" t="inlineStr">
        <is>
          <t xml:space="preserve">BEATRIZ OVIEDO OVIEDO</t>
        </is>
      </c>
      <c r="G49" s="7" t="inlineStr">
        <is>
          <t xml:space="preserve">SANTA CRUZ</t>
        </is>
      </c>
      <c r="H49" s="7" t="inlineStr">
        <is>
          <t xml:space="preserve">COBRAR POR PERDIDA</t>
        </is>
      </c>
      <c r="I49" s="10" t="inlineStr">
        <is>
          <t xml:space="preserve">SISTEMA</t>
        </is>
      </c>
    </row>
    <row r="50">
      <c r="A50" s="7" t="inlineStr">
        <is>
          <t xml:space="preserve">MOV-0049</t>
        </is>
      </c>
      <c r="B50" s="6">
        <v>46176</v>
      </c>
      <c r="C50" s="10" t="inlineStr">
        <is>
          <t xml:space="preserve">PERDIDA</t>
        </is>
      </c>
      <c r="D50" s="10" t="inlineStr">
        <is>
          <t xml:space="preserve">BEX-2045</t>
        </is>
      </c>
      <c r="E50" s="7" t="inlineStr">
        <is>
          <t xml:space="preserve">BRENDA XIMENA BARBA VACA</t>
        </is>
      </c>
      <c r="F50" s="7" t="inlineStr">
        <is>
          <t xml:space="preserve">BEATRIZ OVIEDO OVIEDO</t>
        </is>
      </c>
      <c r="G50" s="7" t="inlineStr">
        <is>
          <t xml:space="preserve">SANTA CRUZ</t>
        </is>
      </c>
      <c r="H50" s="7" t="inlineStr">
        <is>
          <t xml:space="preserve">Credencial anterior perdida - COBRAR</t>
        </is>
      </c>
      <c r="I50" s="10" t="inlineStr">
        <is>
          <t xml:space="preserve">SISTEMA</t>
        </is>
      </c>
    </row>
  </sheetData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6.00" customWidth="1"/>
    <col min="2" max="2" width="16.00" customWidth="1"/>
    <col min="3" max="3" width="14.00" customWidth="1"/>
    <col min="4" max="4" width="18.00" customWidth="1"/>
    <col min="5" max="5" width="20.00" customWidth="1"/>
    <col min="6" max="6" width="20.00" customWidth="1"/>
    <col min="8" max="8" width="70.00" customWidth="1"/>
  </cols>
  <sheetData>
    <row r="1">
      <c r="A1" s="1" t="inlineStr">
        <is>
          <t xml:space="preserve">Regionales</t>
        </is>
      </c>
      <c r="B1" s="1" t="inlineStr">
        <is>
          <t xml:space="preserve">Estados_Persona</t>
        </is>
      </c>
      <c r="C1" s="1" t="inlineStr">
        <is>
          <t xml:space="preserve">Roles</t>
        </is>
      </c>
      <c r="D1" s="1" t="inlineStr">
        <is>
          <t xml:space="preserve">Estados_Credencial</t>
        </is>
      </c>
      <c r="E1" s="1" t="inlineStr">
        <is>
          <t xml:space="preserve">Tipos_Movimiento</t>
        </is>
      </c>
      <c r="F1" s="1" t="inlineStr">
        <is>
          <t xml:space="preserve">Generacion</t>
        </is>
      </c>
      <c r="H1" s="1" t="inlineStr">
        <is>
          <t xml:space="preserve">ERRORES_CRITICOS_DETECTADOS</t>
        </is>
      </c>
    </row>
    <row r="2">
      <c r="A2" s="7" t="inlineStr">
        <is>
          <t xml:space="preserve">COCHABAMBA</t>
        </is>
      </c>
      <c r="B2" s="7" t="inlineStr">
        <is>
          <t xml:space="preserve">ACTIVO</t>
        </is>
      </c>
      <c r="C2" s="7" t="inlineStr">
        <is>
          <t xml:space="preserve">AFILIADOR</t>
        </is>
      </c>
      <c r="D2" s="7" t="inlineStr">
        <is>
          <t xml:space="preserve">ASIGNADO</t>
        </is>
      </c>
      <c r="E2" s="7" t="inlineStr">
        <is>
          <t xml:space="preserve">ENTREGA INICIAL</t>
        </is>
      </c>
      <c r="F2" s="7" t="inlineStr">
        <is>
          <t xml:space="preserve">NUEVA (BEX-2xxx)</t>
        </is>
      </c>
      <c r="H2" s="7" t="inlineStr">
        <is>
          <t xml:space="preserve">1. BEX-0176 asignado a DOS personas: CLAUDIA SHASKIA y REYNA IVONNE</t>
        </is>
      </c>
    </row>
    <row r="3">
      <c r="A3" s="7" t="inlineStr">
        <is>
          <t xml:space="preserve">LA PAZ</t>
        </is>
      </c>
      <c r="B3" s="7" t="inlineStr">
        <is>
          <t xml:space="preserve">INACTIVO</t>
        </is>
      </c>
      <c r="C3" s="7" t="inlineStr">
        <is>
          <t xml:space="preserve">SUPERVISOR</t>
        </is>
      </c>
      <c r="D3" s="7" t="inlineStr">
        <is>
          <t xml:space="preserve">DISPONIBLE</t>
        </is>
      </c>
      <c r="E3" s="7" t="inlineStr">
        <is>
          <t xml:space="preserve">ASIGNACION</t>
        </is>
      </c>
      <c r="F3" s="7" t="inlineStr">
        <is>
          <t xml:space="preserve">LEGACY (BEX-0xxx)</t>
        </is>
      </c>
      <c r="H3" s="7" t="inlineStr">
        <is>
          <t xml:space="preserve">2. BEX-0106 posiblemente duplicado: CAMILA LOZA (GERCY) y JHOSEP SHARUM (MAGALI)</t>
        </is>
      </c>
    </row>
    <row r="4">
      <c r="A4" s="7" t="inlineStr">
        <is>
          <t xml:space="preserve">ORURO</t>
        </is>
      </c>
      <c r="B4" s="7" t="inlineStr">
        <is>
          <t xml:space="preserve"/>
        </is>
      </c>
      <c r="C4" s="7" t="inlineStr">
        <is>
          <t xml:space="preserve"/>
        </is>
      </c>
      <c r="D4" s="7" t="inlineStr">
        <is>
          <t xml:space="preserve">POR ASIGNAR</t>
        </is>
      </c>
      <c r="E4" s="7" t="inlineStr">
        <is>
          <t xml:space="preserve">DEVOLUCION</t>
        </is>
      </c>
      <c r="F4" s="7" t="inlineStr">
        <is>
          <t xml:space="preserve"/>
        </is>
      </c>
      <c r="H4" s="7" t="inlineStr">
        <is>
          <t xml:space="preserve">3. 3 personas con nombres incompletos: TOMAS, LORENA, SELMA</t>
        </is>
      </c>
    </row>
    <row r="5">
      <c r="A5" s="7" t="inlineStr">
        <is>
          <t xml:space="preserve">SANTA CRUZ</t>
        </is>
      </c>
      <c r="B5" s="7" t="inlineStr">
        <is>
          <t xml:space="preserve"/>
        </is>
      </c>
      <c r="C5" s="7" t="inlineStr">
        <is>
          <t xml:space="preserve"/>
        </is>
      </c>
      <c r="D5" s="7" t="inlineStr">
        <is>
          <t xml:space="preserve">PERDIDO</t>
        </is>
      </c>
      <c r="E5" s="7" t="inlineStr">
        <is>
          <t xml:space="preserve">PERDIDA</t>
        </is>
      </c>
      <c r="F5" s="7" t="inlineStr">
        <is>
          <t xml:space="preserve"/>
        </is>
      </c>
      <c r="H5" s="7" t="inlineStr">
        <is>
          <t xml:space="preserve">4. BEX-0518 reportada como PERDIDA - pendiente cobro a MARCO ESCOBAR</t>
        </is>
      </c>
    </row>
    <row r="6">
      <c r="A6" s="7" t="inlineStr">
        <is>
          <t xml:space="preserve">SUCRE</t>
        </is>
      </c>
      <c r="B6" s="7" t="inlineStr">
        <is>
          <t xml:space="preserve"/>
        </is>
      </c>
      <c r="C6" s="7" t="inlineStr">
        <is>
          <t xml:space="preserve"/>
        </is>
      </c>
      <c r="D6" s="7" t="inlineStr">
        <is>
          <t xml:space="preserve">EN TRAMITE</t>
        </is>
      </c>
      <c r="E6" s="7" t="inlineStr">
        <is>
          <t xml:space="preserve">REPOSICION</t>
        </is>
      </c>
      <c r="F6" s="7" t="inlineStr">
        <is>
          <t xml:space="preserve"/>
        </is>
      </c>
      <c r="H6" s="7" t="inlineStr">
        <is>
          <t xml:space="preserve">5. SUPERVISORES sin datos en hoja principal: LIONEL CHABUR, NATALIA VILLARROEL</t>
        </is>
      </c>
    </row>
    <row r="7">
      <c r="A7" s="7" t="inlineStr">
        <is>
          <t xml:space="preserve">TARIJA</t>
        </is>
      </c>
      <c r="B7" s="7" t="inlineStr">
        <is>
          <t xml:space="preserve"/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>REASIGNACION</t>
        </is>
      </c>
      <c r="F7" s="7" t="inlineStr">
        <is>
          <t xml:space="preserve"/>
        </is>
      </c>
      <c r="H7" s="7" t="inlineStr">
        <is>
          <t xml:space="preserve">6. Codigos normalizados (espacios y ceros): BEX-162, BEX- 0176, BEX-027, etc.</t>
        </is>
      </c>
    </row>
    <row r="8">
      <c r="A8" s="7" t="inlineStr">
        <is>
          <t xml:space="preserve"/>
        </is>
      </c>
      <c r="B8" s="7" t="inlineStr">
        <is>
          <t xml:space="preserve"/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>CAMBIO SUPERVISOR</t>
        </is>
      </c>
      <c r="F8" s="7" t="inlineStr">
        <is>
          <t xml:space="preserve"/>
        </is>
      </c>
      <c r="H8" s="7" t="inlineStr">
        <is>
          <t xml:space="preserve">7. Todos los telefonos marcados como POR REGISTRAR - campo critico faltante</t>
        </is>
      </c>
    </row>
    <row r="9">
      <c r="A9" s="7" t="inlineStr">
        <is>
          <t xml:space="preserve"/>
        </is>
      </c>
      <c r="B9" s="7" t="inlineStr">
        <is>
          <t xml:space="preserve"/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>CAMBIO REGIONAL</t>
        </is>
      </c>
      <c r="F9" s="7" t="inlineStr">
        <is>
          <t xml:space="preserve"/>
        </is>
      </c>
    </row>
    <row r="10">
      <c r="A10" s="7" t="inlineStr">
        <is>
          <t xml:space="preserve"/>
        </is>
      </c>
      <c r="B10" s="7" t="inlineStr">
        <is>
          <t xml:space="preserve"/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>BAJA</t>
        </is>
      </c>
      <c r="F10" s="7" t="inlineStr">
        <is>
          <t xml:space="preserve"/>
        </is>
      </c>
    </row>
  </sheetData>
  <tableParts count="1">
    <tablePart r:id="rId1"/>
  </tableParts>
</worksheet>
</file>